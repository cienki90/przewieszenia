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stawienie" sheetId="1" r:id="rId5"/>
    <sheet state="visible" name="03-1341" sheetId="2" r:id="rId6"/>
    <sheet state="visible" name="03-0541" sheetId="3" r:id="rId7"/>
    <sheet state="visible" name="03-0664" sheetId="4" r:id="rId8"/>
    <sheet state="visible" name="03-1250" sheetId="5" r:id="rId9"/>
    <sheet state="visible" name="03-0497" sheetId="6" r:id="rId10"/>
    <sheet state="visible" name="03-1336" sheetId="7" r:id="rId11"/>
    <sheet state="visible" name="03-0495" sheetId="8" r:id="rId12"/>
    <sheet state="visible" name="03-1439" sheetId="9" r:id="rId13"/>
    <sheet state="visible" name="03-0494" sheetId="10" r:id="rId14"/>
    <sheet state="visible" name="03-0496" sheetId="11" r:id="rId15"/>
    <sheet state="visible" name="03-1233" sheetId="12" r:id="rId16"/>
  </sheets>
  <definedNames/>
  <calcPr/>
</workbook>
</file>

<file path=xl/sharedStrings.xml><?xml version="1.0" encoding="utf-8"?>
<sst xmlns="http://schemas.openxmlformats.org/spreadsheetml/2006/main" count="955" uniqueCount="46">
  <si>
    <t>stacja</t>
  </si>
  <si>
    <t>ilość</t>
  </si>
  <si>
    <t>długość</t>
  </si>
  <si>
    <t>03-1341</t>
  </si>
  <si>
    <t>Nr słupa</t>
  </si>
  <si>
    <t>Oznaczenie</t>
  </si>
  <si>
    <t>Typ</t>
  </si>
  <si>
    <t>Odległość</t>
  </si>
  <si>
    <t>Mufa</t>
  </si>
  <si>
    <t>Obwód</t>
  </si>
  <si>
    <t>Nr</t>
  </si>
  <si>
    <t>-10/ZN</t>
  </si>
  <si>
    <t>P</t>
  </si>
  <si>
    <t>-12/10/E</t>
  </si>
  <si>
    <t>-</t>
  </si>
  <si>
    <t>03-0541</t>
  </si>
  <si>
    <t>03-0664</t>
  </si>
  <si>
    <t>03-1250</t>
  </si>
  <si>
    <t>03-0497</t>
  </si>
  <si>
    <t>RPKr</t>
  </si>
  <si>
    <t>RPK</t>
  </si>
  <si>
    <t>03-1336</t>
  </si>
  <si>
    <t>-10,5/10/E</t>
  </si>
  <si>
    <t>03-0495</t>
  </si>
  <si>
    <t>K</t>
  </si>
  <si>
    <t>03-1439</t>
  </si>
  <si>
    <t>Kr</t>
  </si>
  <si>
    <t>03-0494</t>
  </si>
  <si>
    <t>03-0496</t>
  </si>
  <si>
    <t>N</t>
  </si>
  <si>
    <t>03-1233</t>
  </si>
  <si>
    <t>Nb</t>
  </si>
  <si>
    <t>Kb</t>
  </si>
  <si>
    <t>-10.5/10/E</t>
  </si>
  <si>
    <t>RPKb</t>
  </si>
  <si>
    <t>Or</t>
  </si>
  <si>
    <t>11.7.1</t>
  </si>
  <si>
    <t>11.7.2</t>
  </si>
  <si>
    <t>11.7.3</t>
  </si>
  <si>
    <t>11.7.4</t>
  </si>
  <si>
    <t>11.7.5</t>
  </si>
  <si>
    <t>11.7.6</t>
  </si>
  <si>
    <t>11.7.7</t>
  </si>
  <si>
    <t>11.7.8</t>
  </si>
  <si>
    <t>11.7.9</t>
  </si>
  <si>
    <t>11.7.10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</si>
</sst>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f>'03-1341'!H2</f>
        <v>21</v>
      </c>
      <c r="C2" s="1">
        <f>'03-1341'!H3</f>
        <v>630</v>
      </c>
    </row>
    <row r="3">
      <c r="A3" s="1" t="s">
        <v>15</v>
      </c>
      <c r="B3" s="1">
        <f>'03-0541'!H2</f>
        <v>11</v>
      </c>
      <c r="C3" s="1">
        <f>'03-0541'!H3</f>
        <v>380</v>
      </c>
    </row>
    <row r="4">
      <c r="A4" s="1" t="s">
        <v>16</v>
      </c>
      <c r="B4" s="1">
        <f>'03-0664'!H2</f>
        <v>35</v>
      </c>
      <c r="C4" s="1">
        <f>'03-0664'!H3</f>
        <v>1187</v>
      </c>
    </row>
    <row r="5">
      <c r="A5" s="1" t="s">
        <v>17</v>
      </c>
      <c r="B5" s="1">
        <f>'03-1250'!H2</f>
        <v>20</v>
      </c>
      <c r="C5" s="1">
        <f>'03-1250'!H3</f>
        <v>569</v>
      </c>
    </row>
    <row r="6">
      <c r="A6" s="1" t="s">
        <v>18</v>
      </c>
      <c r="B6" s="1">
        <f>'03-0497'!H2</f>
        <v>8</v>
      </c>
      <c r="C6" s="1">
        <f>'03-0497'!H3</f>
        <v>285</v>
      </c>
    </row>
    <row r="7">
      <c r="A7" s="1" t="s">
        <v>21</v>
      </c>
      <c r="B7" s="1">
        <f>'03-1336'!H2</f>
        <v>3</v>
      </c>
      <c r="C7" s="1">
        <f>'03-1336'!H3</f>
        <v>85</v>
      </c>
    </row>
    <row r="8">
      <c r="A8" s="1" t="s">
        <v>23</v>
      </c>
      <c r="B8" s="1">
        <f>'03-0495'!H2</f>
        <v>67</v>
      </c>
      <c r="C8" s="1">
        <f>'03-0495'!H3</f>
        <v>2769</v>
      </c>
    </row>
    <row r="9">
      <c r="A9" s="1" t="s">
        <v>25</v>
      </c>
      <c r="B9" s="1">
        <f>'03-1439'!H2</f>
        <v>13</v>
      </c>
      <c r="C9" s="1">
        <f>'03-1439'!H3</f>
        <v>370</v>
      </c>
    </row>
    <row r="10">
      <c r="A10" s="1" t="s">
        <v>27</v>
      </c>
      <c r="B10" s="1">
        <f>'03-0494'!H2</f>
        <v>39</v>
      </c>
      <c r="C10" s="1">
        <f>'03-0494'!H3</f>
        <v>1642</v>
      </c>
    </row>
    <row r="11">
      <c r="A11" s="1" t="s">
        <v>28</v>
      </c>
      <c r="B11" s="1">
        <f>'03-0496'!H2</f>
        <v>25</v>
      </c>
      <c r="C11" s="1">
        <f>'03-0496'!H3</f>
        <v>927</v>
      </c>
    </row>
    <row r="12">
      <c r="A12" s="1" t="s">
        <v>30</v>
      </c>
      <c r="B12" s="1" t="str">
        <f t="shared" ref="B12:C12" si="1">#REF!</f>
        <v>#REF!</v>
      </c>
      <c r="C12" s="1" t="str">
        <f t="shared" si="1"/>
        <v>#REF!</v>
      </c>
    </row>
    <row r="14">
      <c r="B14" s="1" t="str">
        <f t="shared" ref="B14:C14" si="2">SUM(B2:B12)</f>
        <v>#REF!</v>
      </c>
      <c r="C14" s="1" t="str">
        <f t="shared" si="2"/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12</v>
      </c>
      <c r="C2" s="3" t="s">
        <v>13</v>
      </c>
      <c r="D2" s="2">
        <v>21.0</v>
      </c>
      <c r="E2" s="2" t="s">
        <v>14</v>
      </c>
      <c r="F2" s="2">
        <v>1.0</v>
      </c>
      <c r="G2" s="2"/>
      <c r="H2" s="2">
        <f>COUNT(A2:A27)</f>
        <v>21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12</v>
      </c>
      <c r="C3" s="3" t="s">
        <v>11</v>
      </c>
      <c r="D3" s="2">
        <v>21.0</v>
      </c>
      <c r="E3" s="2">
        <v>1.0</v>
      </c>
      <c r="F3" s="2">
        <v>1.0</v>
      </c>
      <c r="G3" s="2"/>
      <c r="H3" s="2">
        <f>SUM(D2:D27)</f>
        <v>630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12</v>
      </c>
      <c r="C4" s="3" t="s">
        <v>13</v>
      </c>
      <c r="D4" s="2">
        <v>45.0</v>
      </c>
      <c r="E4" s="2" t="s">
        <v>14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3" t="s">
        <v>12</v>
      </c>
      <c r="C5" s="3" t="s">
        <v>11</v>
      </c>
      <c r="D5" s="2">
        <v>50.0</v>
      </c>
      <c r="E5" s="2" t="s">
        <v>14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3" t="s">
        <v>20</v>
      </c>
      <c r="C6" s="3" t="s">
        <v>13</v>
      </c>
      <c r="D6" s="2">
        <v>32.0</v>
      </c>
      <c r="E6" s="2" t="s">
        <v>14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3" t="s">
        <v>20</v>
      </c>
      <c r="C7" s="3" t="s">
        <v>22</v>
      </c>
      <c r="D7" s="2">
        <v>8.0</v>
      </c>
      <c r="E7" s="2">
        <v>1.0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6.1</v>
      </c>
      <c r="B8" s="3" t="s">
        <v>24</v>
      </c>
      <c r="C8" s="3" t="s">
        <v>22</v>
      </c>
      <c r="D8" s="2">
        <v>18.0</v>
      </c>
      <c r="E8" s="2" t="s">
        <v>14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7.0</v>
      </c>
      <c r="B9" s="3" t="s">
        <v>12</v>
      </c>
      <c r="C9" s="3" t="s">
        <v>11</v>
      </c>
      <c r="D9" s="2">
        <v>49.0</v>
      </c>
      <c r="E9" s="2" t="s">
        <v>14</v>
      </c>
      <c r="F9" s="2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8.0</v>
      </c>
      <c r="B10" s="3" t="s">
        <v>12</v>
      </c>
      <c r="C10" s="3" t="s">
        <v>11</v>
      </c>
      <c r="D10" s="2">
        <v>26.0</v>
      </c>
      <c r="E10" s="2" t="s">
        <v>14</v>
      </c>
      <c r="F10" s="2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1.0</v>
      </c>
      <c r="B11" s="3" t="s">
        <v>12</v>
      </c>
      <c r="C11" s="3" t="s">
        <v>11</v>
      </c>
      <c r="D11" s="2">
        <v>21.0</v>
      </c>
      <c r="E11" s="2" t="s">
        <v>14</v>
      </c>
      <c r="F11" s="2">
        <v>2.0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2.0</v>
      </c>
      <c r="B12" s="3" t="s">
        <v>29</v>
      </c>
      <c r="C12" s="3" t="s">
        <v>22</v>
      </c>
      <c r="D12" s="2">
        <v>23.0</v>
      </c>
      <c r="E12" s="2">
        <v>1.0</v>
      </c>
      <c r="F12" s="2">
        <v>2.0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3.0</v>
      </c>
      <c r="B13" s="3" t="s">
        <v>29</v>
      </c>
      <c r="C13" s="3" t="s">
        <v>22</v>
      </c>
      <c r="D13" s="2">
        <v>22.0</v>
      </c>
      <c r="E13" s="2" t="s">
        <v>14</v>
      </c>
      <c r="F13" s="2">
        <v>2.0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4.0</v>
      </c>
      <c r="B14" s="3" t="s">
        <v>29</v>
      </c>
      <c r="C14" s="3" t="s">
        <v>22</v>
      </c>
      <c r="D14" s="2">
        <v>23.0</v>
      </c>
      <c r="E14" s="2" t="s">
        <v>14</v>
      </c>
      <c r="F14" s="2">
        <v>2.0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5.0</v>
      </c>
      <c r="B15" s="3" t="s">
        <v>12</v>
      </c>
      <c r="C15" s="3" t="s">
        <v>11</v>
      </c>
      <c r="D15" s="2">
        <v>40.0</v>
      </c>
      <c r="E15" s="2" t="s">
        <v>14</v>
      </c>
      <c r="F15" s="2">
        <v>2.0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6.0</v>
      </c>
      <c r="B16" s="3" t="s">
        <v>12</v>
      </c>
      <c r="C16" s="3" t="s">
        <v>11</v>
      </c>
      <c r="D16" s="2">
        <v>49.0</v>
      </c>
      <c r="E16" s="2" t="s">
        <v>14</v>
      </c>
      <c r="F16" s="2">
        <v>2.0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7.0</v>
      </c>
      <c r="B17" s="3" t="s">
        <v>29</v>
      </c>
      <c r="C17" s="3" t="s">
        <v>22</v>
      </c>
      <c r="D17" s="2">
        <v>29.0</v>
      </c>
      <c r="E17" s="2">
        <v>1.0</v>
      </c>
      <c r="F17" s="2">
        <v>2.0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8.0</v>
      </c>
      <c r="B18" s="3" t="s">
        <v>12</v>
      </c>
      <c r="C18" s="3" t="s">
        <v>11</v>
      </c>
      <c r="D18" s="2">
        <v>33.0</v>
      </c>
      <c r="E18" s="2" t="s">
        <v>14</v>
      </c>
      <c r="F18" s="2">
        <v>2.0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9.0</v>
      </c>
      <c r="B19" s="3" t="s">
        <v>24</v>
      </c>
      <c r="C19" s="3" t="s">
        <v>22</v>
      </c>
      <c r="D19" s="2">
        <v>32.0</v>
      </c>
      <c r="E19" s="2" t="s">
        <v>14</v>
      </c>
      <c r="F19" s="2">
        <v>2.0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10.0</v>
      </c>
      <c r="B20" s="3" t="s">
        <v>20</v>
      </c>
      <c r="C20" s="3" t="s">
        <v>22</v>
      </c>
      <c r="D20" s="2">
        <v>22.0</v>
      </c>
      <c r="E20" s="2" t="s">
        <v>14</v>
      </c>
      <c r="F20" s="2">
        <v>2.0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11.0</v>
      </c>
      <c r="B21" s="3" t="s">
        <v>12</v>
      </c>
      <c r="C21" s="3" t="s">
        <v>11</v>
      </c>
      <c r="D21" s="2">
        <v>22.0</v>
      </c>
      <c r="E21" s="2" t="s">
        <v>14</v>
      </c>
      <c r="F21" s="2">
        <v>2.0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12.0</v>
      </c>
      <c r="B22" s="3" t="s">
        <v>12</v>
      </c>
      <c r="C22" s="3" t="s">
        <v>11</v>
      </c>
      <c r="D22" s="2">
        <v>44.0</v>
      </c>
      <c r="E22" s="2" t="s">
        <v>14</v>
      </c>
      <c r="F22" s="2">
        <v>2.0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10</v>
      </c>
      <c r="C2" s="3" t="s">
        <v>11</v>
      </c>
      <c r="D2" s="2">
        <v>22.0</v>
      </c>
      <c r="E2" s="2">
        <v>1.0</v>
      </c>
      <c r="F2" s="2">
        <v>1.0</v>
      </c>
      <c r="G2" s="2"/>
      <c r="H2" s="2">
        <f>COUNT(A2:A27)</f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12</v>
      </c>
      <c r="C3" s="3" t="s">
        <v>11</v>
      </c>
      <c r="D3" s="2">
        <v>22.0</v>
      </c>
      <c r="E3" s="2" t="s">
        <v>14</v>
      </c>
      <c r="F3" s="2">
        <v>1.0</v>
      </c>
      <c r="G3" s="2"/>
      <c r="H3" s="2">
        <f>SUM(D2:D27)</f>
        <v>380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12</v>
      </c>
      <c r="C4" s="3" t="s">
        <v>11</v>
      </c>
      <c r="D4" s="2">
        <v>48.0</v>
      </c>
      <c r="E4" s="2" t="s">
        <v>14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3" t="s">
        <v>12</v>
      </c>
      <c r="C5" s="3" t="s">
        <v>11</v>
      </c>
      <c r="D5" s="2">
        <v>48.0</v>
      </c>
      <c r="E5" s="2" t="s">
        <v>14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3" t="s">
        <v>12</v>
      </c>
      <c r="C6" s="3" t="s">
        <v>11</v>
      </c>
      <c r="D6" s="2">
        <v>41.0</v>
      </c>
      <c r="E6" s="2" t="s">
        <v>14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3" t="s">
        <v>19</v>
      </c>
      <c r="C7" s="3" t="s">
        <v>11</v>
      </c>
      <c r="D7" s="2">
        <v>32.0</v>
      </c>
      <c r="E7" s="2">
        <v>1.0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7.0</v>
      </c>
      <c r="B8" s="3" t="s">
        <v>12</v>
      </c>
      <c r="C8" s="3" t="s">
        <v>11</v>
      </c>
      <c r="D8" s="2">
        <v>38.0</v>
      </c>
      <c r="E8" s="2" t="s">
        <v>14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</v>
      </c>
      <c r="B9" s="3" t="s">
        <v>12</v>
      </c>
      <c r="C9" s="3" t="s">
        <v>11</v>
      </c>
      <c r="D9" s="2">
        <v>38.0</v>
      </c>
      <c r="E9" s="2" t="s">
        <v>14</v>
      </c>
      <c r="F9" s="2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9.0</v>
      </c>
      <c r="B10" s="3" t="s">
        <v>12</v>
      </c>
      <c r="C10" s="3" t="s">
        <v>11</v>
      </c>
      <c r="D10" s="2">
        <v>22.0</v>
      </c>
      <c r="E10" s="2" t="s">
        <v>14</v>
      </c>
      <c r="F10" s="2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10.0</v>
      </c>
      <c r="B11" s="3" t="s">
        <v>12</v>
      </c>
      <c r="C11" s="3" t="s">
        <v>11</v>
      </c>
      <c r="D11" s="2">
        <v>23.0</v>
      </c>
      <c r="E11" s="2" t="s">
        <v>14</v>
      </c>
      <c r="F11" s="2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11.0</v>
      </c>
      <c r="B12" s="3" t="s">
        <v>26</v>
      </c>
      <c r="C12" s="3" t="s">
        <v>11</v>
      </c>
      <c r="D12" s="2">
        <v>46.0</v>
      </c>
      <c r="E12" s="2" t="s">
        <v>14</v>
      </c>
      <c r="F12" s="2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12</v>
      </c>
      <c r="C2" s="3" t="s">
        <v>11</v>
      </c>
      <c r="D2" s="2">
        <v>18.0</v>
      </c>
      <c r="E2" s="2" t="s">
        <v>14</v>
      </c>
      <c r="F2" s="2">
        <v>1.0</v>
      </c>
      <c r="G2" s="2"/>
      <c r="H2" s="2">
        <f>COUNT(A2:A36)</f>
        <v>35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12</v>
      </c>
      <c r="C3" s="3" t="s">
        <v>11</v>
      </c>
      <c r="D3" s="2">
        <v>18.0</v>
      </c>
      <c r="E3" s="2" t="s">
        <v>14</v>
      </c>
      <c r="F3" s="2">
        <v>1.0</v>
      </c>
      <c r="G3" s="2"/>
      <c r="H3" s="2">
        <f>SUM(D2:D36)</f>
        <v>1187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19</v>
      </c>
      <c r="C4" s="3" t="s">
        <v>11</v>
      </c>
      <c r="D4" s="2">
        <v>22.0</v>
      </c>
      <c r="E4" s="2" t="s">
        <v>14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3.1</v>
      </c>
      <c r="B5" s="3" t="s">
        <v>12</v>
      </c>
      <c r="C5" s="3" t="s">
        <v>11</v>
      </c>
      <c r="D5" s="2">
        <v>23.0</v>
      </c>
      <c r="E5" s="2" t="s">
        <v>14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3.2</v>
      </c>
      <c r="B6" s="3" t="s">
        <v>12</v>
      </c>
      <c r="C6" s="3" t="s">
        <v>11</v>
      </c>
      <c r="D6" s="2">
        <v>22.0</v>
      </c>
      <c r="E6" s="2" t="s">
        <v>14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3.3</v>
      </c>
      <c r="B7" s="3" t="s">
        <v>26</v>
      </c>
      <c r="C7" s="3" t="s">
        <v>11</v>
      </c>
      <c r="D7" s="2">
        <v>22.0</v>
      </c>
      <c r="E7" s="2" t="s">
        <v>14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4.0</v>
      </c>
      <c r="B8" s="3" t="s">
        <v>19</v>
      </c>
      <c r="C8" s="3" t="s">
        <v>11</v>
      </c>
      <c r="D8" s="2">
        <v>23.0</v>
      </c>
      <c r="E8" s="2" t="s">
        <v>14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5.0</v>
      </c>
      <c r="B9" s="3" t="s">
        <v>12</v>
      </c>
      <c r="C9" s="3" t="s">
        <v>11</v>
      </c>
      <c r="D9" s="2">
        <v>47.0</v>
      </c>
      <c r="E9" s="2" t="s">
        <v>14</v>
      </c>
      <c r="F9" s="2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6.0</v>
      </c>
      <c r="B10" s="3" t="s">
        <v>12</v>
      </c>
      <c r="C10" s="3" t="s">
        <v>11</v>
      </c>
      <c r="D10" s="2">
        <v>43.0</v>
      </c>
      <c r="E10" s="2" t="s">
        <v>14</v>
      </c>
      <c r="F10" s="2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7.0</v>
      </c>
      <c r="B11" s="3" t="s">
        <v>12</v>
      </c>
      <c r="C11" s="3" t="s">
        <v>11</v>
      </c>
      <c r="D11" s="2">
        <v>41.0</v>
      </c>
      <c r="E11" s="2">
        <v>1.0</v>
      </c>
      <c r="F11" s="2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8.0</v>
      </c>
      <c r="B12" s="3" t="s">
        <v>12</v>
      </c>
      <c r="C12" s="3" t="s">
        <v>11</v>
      </c>
      <c r="D12" s="2">
        <v>43.0</v>
      </c>
      <c r="E12" s="2" t="s">
        <v>14</v>
      </c>
      <c r="F12" s="2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9.0</v>
      </c>
      <c r="B13" s="3" t="s">
        <v>12</v>
      </c>
      <c r="C13" s="3" t="s">
        <v>11</v>
      </c>
      <c r="D13" s="2">
        <v>43.0</v>
      </c>
      <c r="E13" s="2">
        <v>1.0</v>
      </c>
      <c r="F13" s="2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10.0</v>
      </c>
      <c r="B14" s="3" t="s">
        <v>19</v>
      </c>
      <c r="C14" s="3" t="s">
        <v>11</v>
      </c>
      <c r="D14" s="2">
        <v>16.0</v>
      </c>
      <c r="E14" s="2" t="s">
        <v>14</v>
      </c>
      <c r="F14" s="2">
        <v>1.0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11.0</v>
      </c>
      <c r="B15" s="3" t="s">
        <v>12</v>
      </c>
      <c r="C15" s="3" t="s">
        <v>11</v>
      </c>
      <c r="D15" s="2">
        <v>45.0</v>
      </c>
      <c r="E15" s="2" t="s">
        <v>14</v>
      </c>
      <c r="F15" s="2">
        <v>1.0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12.0</v>
      </c>
      <c r="B16" s="3" t="s">
        <v>31</v>
      </c>
      <c r="C16" s="3" t="s">
        <v>13</v>
      </c>
      <c r="D16" s="2">
        <v>19.0</v>
      </c>
      <c r="E16" s="2" t="s">
        <v>14</v>
      </c>
      <c r="F16" s="2">
        <v>1.0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13.0</v>
      </c>
      <c r="B17" s="3" t="s">
        <v>20</v>
      </c>
      <c r="C17" s="3" t="s">
        <v>13</v>
      </c>
      <c r="D17" s="2">
        <v>28.0</v>
      </c>
      <c r="E17" s="2">
        <v>1.0</v>
      </c>
      <c r="F17" s="2">
        <v>1.0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14.0</v>
      </c>
      <c r="B18" s="3" t="s">
        <v>12</v>
      </c>
      <c r="C18" s="3" t="s">
        <v>22</v>
      </c>
      <c r="D18" s="2">
        <v>31.0</v>
      </c>
      <c r="E18" s="2" t="s">
        <v>14</v>
      </c>
      <c r="F18" s="2">
        <v>1.0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15.0</v>
      </c>
      <c r="B19" s="3" t="s">
        <v>12</v>
      </c>
      <c r="C19" s="3" t="s">
        <v>22</v>
      </c>
      <c r="D19" s="2">
        <v>33.0</v>
      </c>
      <c r="E19" s="2" t="s">
        <v>14</v>
      </c>
      <c r="F19" s="2">
        <v>1.0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16.0</v>
      </c>
      <c r="B20" s="3" t="s">
        <v>29</v>
      </c>
      <c r="C20" s="3" t="s">
        <v>22</v>
      </c>
      <c r="D20" s="2">
        <v>32.0</v>
      </c>
      <c r="E20" s="2" t="s">
        <v>14</v>
      </c>
      <c r="F20" s="2">
        <v>1.0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17.0</v>
      </c>
      <c r="B21" s="3" t="s">
        <v>20</v>
      </c>
      <c r="C21" s="3" t="s">
        <v>22</v>
      </c>
      <c r="D21" s="2">
        <v>18.0</v>
      </c>
      <c r="E21" s="2">
        <v>1.0</v>
      </c>
      <c r="F21" s="2">
        <v>1.0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17.1</v>
      </c>
      <c r="B22" s="3" t="s">
        <v>29</v>
      </c>
      <c r="C22" s="3" t="s">
        <v>22</v>
      </c>
      <c r="D22" s="2">
        <v>7.0</v>
      </c>
      <c r="E22" s="2" t="s">
        <v>14</v>
      </c>
      <c r="F22" s="2">
        <v>1.0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17.2</v>
      </c>
      <c r="B23" s="3" t="s">
        <v>12</v>
      </c>
      <c r="C23" s="3" t="s">
        <v>11</v>
      </c>
      <c r="D23" s="2">
        <v>52.0</v>
      </c>
      <c r="E23" s="2" t="s">
        <v>14</v>
      </c>
      <c r="F23" s="2">
        <v>1.0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17.3</v>
      </c>
      <c r="B24" s="3" t="s">
        <v>12</v>
      </c>
      <c r="C24" s="3" t="s">
        <v>11</v>
      </c>
      <c r="D24" s="2">
        <v>56.0</v>
      </c>
      <c r="E24" s="2">
        <v>1.0</v>
      </c>
      <c r="F24" s="2">
        <v>1.0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17.4</v>
      </c>
      <c r="B25" s="3" t="s">
        <v>24</v>
      </c>
      <c r="C25" s="3" t="s">
        <v>22</v>
      </c>
      <c r="D25" s="2">
        <v>56.0</v>
      </c>
      <c r="E25" s="2" t="s">
        <v>14</v>
      </c>
      <c r="F25" s="2">
        <v>1.0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18.0</v>
      </c>
      <c r="B26" s="3" t="s">
        <v>12</v>
      </c>
      <c r="C26" s="3" t="s">
        <v>11</v>
      </c>
      <c r="D26" s="2">
        <v>52.0</v>
      </c>
      <c r="E26" s="2" t="s">
        <v>14</v>
      </c>
      <c r="F26" s="2">
        <v>1.0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19.0</v>
      </c>
      <c r="B27" s="3" t="s">
        <v>12</v>
      </c>
      <c r="C27" s="3" t="s">
        <v>11</v>
      </c>
      <c r="D27" s="2">
        <v>45.0</v>
      </c>
      <c r="E27" s="2" t="s">
        <v>14</v>
      </c>
      <c r="F27" s="2">
        <v>1.0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20.0</v>
      </c>
      <c r="B28" s="3" t="s">
        <v>20</v>
      </c>
      <c r="C28" s="3" t="s">
        <v>22</v>
      </c>
      <c r="D28" s="2">
        <v>46.0</v>
      </c>
      <c r="E28" s="2">
        <v>1.0</v>
      </c>
      <c r="F28" s="2">
        <v>1.0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21.0</v>
      </c>
      <c r="B29" s="2" t="s">
        <v>12</v>
      </c>
      <c r="C29" s="3" t="s">
        <v>11</v>
      </c>
      <c r="D29" s="2">
        <v>37.0</v>
      </c>
      <c r="E29" s="2" t="s">
        <v>14</v>
      </c>
      <c r="F29" s="2">
        <v>1.0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22.0</v>
      </c>
      <c r="B30" s="3" t="s">
        <v>24</v>
      </c>
      <c r="C30" s="3" t="s">
        <v>22</v>
      </c>
      <c r="D30" s="2">
        <v>50.0</v>
      </c>
      <c r="E30" s="2">
        <v>1.0</v>
      </c>
      <c r="F30" s="2">
        <v>1.0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21.0</v>
      </c>
      <c r="B31" s="3" t="s">
        <v>20</v>
      </c>
      <c r="C31" s="3" t="s">
        <v>22</v>
      </c>
      <c r="D31" s="2">
        <v>49.0</v>
      </c>
      <c r="E31" s="2" t="s">
        <v>14</v>
      </c>
      <c r="F31" s="2">
        <v>1.0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21.1</v>
      </c>
      <c r="B32" s="3" t="s">
        <v>24</v>
      </c>
      <c r="C32" s="3" t="s">
        <v>22</v>
      </c>
      <c r="D32" s="2">
        <v>19.0</v>
      </c>
      <c r="E32" s="2" t="s">
        <v>14</v>
      </c>
      <c r="F32" s="2">
        <v>1.0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22.0</v>
      </c>
      <c r="B33" s="3" t="s">
        <v>12</v>
      </c>
      <c r="C33" s="3" t="s">
        <v>11</v>
      </c>
      <c r="D33" s="2">
        <v>31.0</v>
      </c>
      <c r="E33" s="2" t="s">
        <v>14</v>
      </c>
      <c r="F33" s="2">
        <v>1.0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23.0</v>
      </c>
      <c r="B34" s="3" t="s">
        <v>12</v>
      </c>
      <c r="C34" s="3" t="s">
        <v>11</v>
      </c>
      <c r="D34" s="2">
        <v>32.0</v>
      </c>
      <c r="E34" s="2" t="s">
        <v>14</v>
      </c>
      <c r="F34" s="2">
        <v>1.0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24.0</v>
      </c>
      <c r="B35" s="3" t="s">
        <v>12</v>
      </c>
      <c r="C35" s="3" t="s">
        <v>11</v>
      </c>
      <c r="D35" s="2">
        <v>25.0</v>
      </c>
      <c r="E35" s="2">
        <v>1.0</v>
      </c>
      <c r="F35" s="2">
        <v>1.0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25.0</v>
      </c>
      <c r="B36" s="3" t="s">
        <v>24</v>
      </c>
      <c r="C36" s="3" t="s">
        <v>22</v>
      </c>
      <c r="D36" s="2">
        <v>43.0</v>
      </c>
      <c r="E36" s="2" t="s">
        <v>14</v>
      </c>
      <c r="F36" s="2">
        <v>1.0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12</v>
      </c>
      <c r="C2" s="3" t="s">
        <v>11</v>
      </c>
      <c r="D2" s="2">
        <v>20.0</v>
      </c>
      <c r="E2" s="2" t="s">
        <v>14</v>
      </c>
      <c r="F2" s="2">
        <v>1.0</v>
      </c>
      <c r="G2" s="2"/>
      <c r="H2" s="2">
        <f>COUNT(A2:A36)</f>
        <v>20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12</v>
      </c>
      <c r="C3" s="3" t="s">
        <v>11</v>
      </c>
      <c r="D3" s="2">
        <v>31.0</v>
      </c>
      <c r="E3" s="2">
        <v>1.0</v>
      </c>
      <c r="F3" s="2">
        <v>1.0</v>
      </c>
      <c r="G3" s="2"/>
      <c r="H3" s="2">
        <f>SUM(D2:D36)</f>
        <v>569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12</v>
      </c>
      <c r="C4" s="3" t="s">
        <v>13</v>
      </c>
      <c r="D4" s="2">
        <v>32.0</v>
      </c>
      <c r="E4" s="2" t="s">
        <v>14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3" t="s">
        <v>12</v>
      </c>
      <c r="C5" s="3" t="s">
        <v>11</v>
      </c>
      <c r="D5" s="2">
        <v>22.0</v>
      </c>
      <c r="E5" s="2">
        <v>1.0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3" t="s">
        <v>12</v>
      </c>
      <c r="C6" s="3" t="s">
        <v>13</v>
      </c>
      <c r="D6" s="2">
        <v>26.0</v>
      </c>
      <c r="E6" s="2" t="s">
        <v>14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3" t="s">
        <v>12</v>
      </c>
      <c r="C7" s="3" t="s">
        <v>11</v>
      </c>
      <c r="D7" s="2">
        <v>24.0</v>
      </c>
      <c r="E7" s="2" t="s">
        <v>14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7.0</v>
      </c>
      <c r="B8" s="3" t="s">
        <v>32</v>
      </c>
      <c r="C8" s="3" t="s">
        <v>13</v>
      </c>
      <c r="D8" s="2">
        <v>25.0</v>
      </c>
      <c r="E8" s="2">
        <v>1.0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1.0</v>
      </c>
      <c r="B9" s="3" t="s">
        <v>12</v>
      </c>
      <c r="C9" s="3" t="s">
        <v>11</v>
      </c>
      <c r="D9" s="2">
        <v>16.0</v>
      </c>
      <c r="E9" s="2" t="s">
        <v>14</v>
      </c>
      <c r="F9" s="2">
        <v>2.0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2.0</v>
      </c>
      <c r="B10" s="3" t="s">
        <v>12</v>
      </c>
      <c r="C10" s="3" t="s">
        <v>11</v>
      </c>
      <c r="D10" s="2">
        <v>17.0</v>
      </c>
      <c r="E10" s="2" t="s">
        <v>14</v>
      </c>
      <c r="F10" s="2">
        <v>2.0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3.0</v>
      </c>
      <c r="B11" s="3" t="s">
        <v>20</v>
      </c>
      <c r="C11" s="3" t="s">
        <v>22</v>
      </c>
      <c r="D11" s="2">
        <v>33.0</v>
      </c>
      <c r="E11" s="2">
        <v>1.0</v>
      </c>
      <c r="F11" s="2">
        <v>2.0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3.1</v>
      </c>
      <c r="B12" s="3" t="s">
        <v>29</v>
      </c>
      <c r="C12" s="3" t="s">
        <v>22</v>
      </c>
      <c r="D12" s="2">
        <v>16.0</v>
      </c>
      <c r="E12" s="2" t="s">
        <v>14</v>
      </c>
      <c r="F12" s="2">
        <v>2.0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3.2</v>
      </c>
      <c r="B13" s="3" t="s">
        <v>24</v>
      </c>
      <c r="C13" s="3" t="s">
        <v>22</v>
      </c>
      <c r="D13" s="2">
        <v>35.0</v>
      </c>
      <c r="E13" s="2" t="s">
        <v>14</v>
      </c>
      <c r="F13" s="2">
        <v>2.0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4.0</v>
      </c>
      <c r="B14" s="3" t="s">
        <v>12</v>
      </c>
      <c r="C14" s="3" t="s">
        <v>11</v>
      </c>
      <c r="D14" s="2">
        <v>35.0</v>
      </c>
      <c r="E14" s="2" t="s">
        <v>14</v>
      </c>
      <c r="F14" s="2">
        <v>2.0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5.0</v>
      </c>
      <c r="B15" s="3" t="s">
        <v>29</v>
      </c>
      <c r="C15" s="3" t="s">
        <v>22</v>
      </c>
      <c r="D15" s="2">
        <v>36.0</v>
      </c>
      <c r="E15" s="2">
        <v>1.0</v>
      </c>
      <c r="F15" s="2">
        <v>2.0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6.0</v>
      </c>
      <c r="B16" s="3" t="s">
        <v>12</v>
      </c>
      <c r="C16" s="3" t="s">
        <v>11</v>
      </c>
      <c r="D16" s="2">
        <v>28.0</v>
      </c>
      <c r="E16" s="2" t="s">
        <v>14</v>
      </c>
      <c r="F16" s="2">
        <v>2.0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7.0</v>
      </c>
      <c r="B17" s="3" t="s">
        <v>20</v>
      </c>
      <c r="C17" s="3" t="s">
        <v>22</v>
      </c>
      <c r="D17" s="2">
        <v>37.0</v>
      </c>
      <c r="E17" s="2">
        <v>1.0</v>
      </c>
      <c r="F17" s="2">
        <v>2.0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8.0</v>
      </c>
      <c r="B18" s="3" t="s">
        <v>29</v>
      </c>
      <c r="C18" s="3" t="s">
        <v>22</v>
      </c>
      <c r="D18" s="2">
        <v>22.0</v>
      </c>
      <c r="E18" s="2" t="s">
        <v>14</v>
      </c>
      <c r="F18" s="2">
        <v>2.0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9.0</v>
      </c>
      <c r="B19" s="3" t="s">
        <v>29</v>
      </c>
      <c r="C19" s="3" t="s">
        <v>22</v>
      </c>
      <c r="D19" s="2">
        <v>14.0</v>
      </c>
      <c r="E19" s="2" t="s">
        <v>14</v>
      </c>
      <c r="F19" s="2">
        <v>2.0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10.0</v>
      </c>
      <c r="B20" s="3" t="s">
        <v>12</v>
      </c>
      <c r="C20" s="3" t="s">
        <v>11</v>
      </c>
      <c r="D20" s="2">
        <v>46.0</v>
      </c>
      <c r="E20" s="2" t="s">
        <v>14</v>
      </c>
      <c r="F20" s="2">
        <v>2.0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11.0</v>
      </c>
      <c r="B21" s="3" t="s">
        <v>24</v>
      </c>
      <c r="C21" s="3" t="s">
        <v>22</v>
      </c>
      <c r="D21" s="2">
        <v>54.0</v>
      </c>
      <c r="E21" s="2">
        <v>1.0</v>
      </c>
      <c r="F21" s="2">
        <v>2.0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19</v>
      </c>
      <c r="C2" s="3" t="s">
        <v>11</v>
      </c>
      <c r="D2" s="2">
        <v>26.0</v>
      </c>
      <c r="E2" s="2" t="s">
        <v>14</v>
      </c>
      <c r="F2" s="2">
        <v>1.0</v>
      </c>
      <c r="G2" s="2"/>
      <c r="H2" s="2">
        <f>COUNT(A2:A36)</f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12</v>
      </c>
      <c r="C3" s="3" t="s">
        <v>11</v>
      </c>
      <c r="D3" s="2">
        <v>27.0</v>
      </c>
      <c r="E3" s="2" t="s">
        <v>14</v>
      </c>
      <c r="F3" s="2">
        <v>1.0</v>
      </c>
      <c r="G3" s="2"/>
      <c r="H3" s="2">
        <f>SUM(D2:D36)</f>
        <v>285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19</v>
      </c>
      <c r="C4" s="3" t="s">
        <v>11</v>
      </c>
      <c r="D4" s="2">
        <v>46.0</v>
      </c>
      <c r="E4" s="2">
        <v>1.0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3" t="s">
        <v>12</v>
      </c>
      <c r="C5" s="3" t="s">
        <v>11</v>
      </c>
      <c r="D5" s="2">
        <v>55.0</v>
      </c>
      <c r="E5" s="2" t="s">
        <v>14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3" t="s">
        <v>29</v>
      </c>
      <c r="C6" s="3" t="s">
        <v>22</v>
      </c>
      <c r="D6" s="2">
        <v>27.0</v>
      </c>
      <c r="E6" s="2" t="s">
        <v>14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3" t="s">
        <v>24</v>
      </c>
      <c r="C7" s="3" t="s">
        <v>22</v>
      </c>
      <c r="D7" s="2">
        <v>53.0</v>
      </c>
      <c r="E7" s="2" t="s">
        <v>14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7.0</v>
      </c>
      <c r="B8" s="3" t="s">
        <v>12</v>
      </c>
      <c r="C8" s="3" t="s">
        <v>22</v>
      </c>
      <c r="D8" s="2">
        <v>25.0</v>
      </c>
      <c r="E8" s="2" t="s">
        <v>14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</v>
      </c>
      <c r="B9" s="3" t="s">
        <v>20</v>
      </c>
      <c r="C9" s="3" t="s">
        <v>22</v>
      </c>
      <c r="D9" s="2">
        <v>26.0</v>
      </c>
      <c r="E9" s="2">
        <v>1.0</v>
      </c>
      <c r="F9" s="2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12</v>
      </c>
      <c r="C2" s="3" t="s">
        <v>11</v>
      </c>
      <c r="D2" s="2">
        <v>21.0</v>
      </c>
      <c r="E2" s="2">
        <v>1.0</v>
      </c>
      <c r="F2" s="2">
        <v>1.0</v>
      </c>
      <c r="G2" s="2"/>
      <c r="H2" s="2">
        <f>COUNT(A2:A36)</f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12</v>
      </c>
      <c r="C3" s="3" t="s">
        <v>11</v>
      </c>
      <c r="D3" s="2">
        <v>22.0</v>
      </c>
      <c r="E3" s="2" t="s">
        <v>14</v>
      </c>
      <c r="F3" s="2">
        <v>1.0</v>
      </c>
      <c r="G3" s="2"/>
      <c r="H3" s="2">
        <f>SUM(D2:D36)</f>
        <v>85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24</v>
      </c>
      <c r="C4" s="3" t="s">
        <v>22</v>
      </c>
      <c r="D4" s="2">
        <v>42.0</v>
      </c>
      <c r="E4" s="2" t="s">
        <v>14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12</v>
      </c>
      <c r="C2" s="3" t="s">
        <v>11</v>
      </c>
      <c r="D2" s="2">
        <v>23.0</v>
      </c>
      <c r="E2" s="2" t="s">
        <v>14</v>
      </c>
      <c r="F2" s="2">
        <v>1.0</v>
      </c>
      <c r="G2" s="2"/>
      <c r="H2" s="2">
        <f>COUNT(A2:A68)</f>
        <v>67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12</v>
      </c>
      <c r="C3" s="3" t="s">
        <v>11</v>
      </c>
      <c r="D3" s="2">
        <v>24.0</v>
      </c>
      <c r="E3" s="2" t="s">
        <v>14</v>
      </c>
      <c r="F3" s="2">
        <v>1.0</v>
      </c>
      <c r="G3" s="2"/>
      <c r="H3" s="2">
        <f>SUM(D2:D68)</f>
        <v>2769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20</v>
      </c>
      <c r="C4" s="3" t="s">
        <v>22</v>
      </c>
      <c r="D4" s="2">
        <v>22.0</v>
      </c>
      <c r="E4" s="2">
        <v>1.0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3.1</v>
      </c>
      <c r="B5" s="3" t="s">
        <v>10</v>
      </c>
      <c r="C5" s="3" t="s">
        <v>11</v>
      </c>
      <c r="D5" s="2">
        <v>17.0</v>
      </c>
      <c r="E5" s="2" t="s">
        <v>14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3.2</v>
      </c>
      <c r="B6" s="3" t="s">
        <v>12</v>
      </c>
      <c r="C6" s="3" t="s">
        <v>11</v>
      </c>
      <c r="D6" s="2">
        <v>42.0</v>
      </c>
      <c r="E6" s="2" t="s">
        <v>14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3.3</v>
      </c>
      <c r="B7" s="3" t="s">
        <v>12</v>
      </c>
      <c r="C7" s="3" t="s">
        <v>11</v>
      </c>
      <c r="D7" s="2">
        <v>41.0</v>
      </c>
      <c r="E7" s="2" t="s">
        <v>14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3.4</v>
      </c>
      <c r="B8" s="3" t="s">
        <v>24</v>
      </c>
      <c r="C8" s="3" t="s">
        <v>22</v>
      </c>
      <c r="D8" s="2">
        <v>46.0</v>
      </c>
      <c r="E8" s="2" t="s">
        <v>14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4.0</v>
      </c>
      <c r="B9" s="3" t="s">
        <v>12</v>
      </c>
      <c r="C9" s="3" t="s">
        <v>11</v>
      </c>
      <c r="D9" s="2">
        <v>24.0</v>
      </c>
      <c r="E9" s="2" t="s">
        <v>14</v>
      </c>
      <c r="F9" s="2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5.0</v>
      </c>
      <c r="B10" s="3" t="s">
        <v>19</v>
      </c>
      <c r="C10" s="3" t="s">
        <v>11</v>
      </c>
      <c r="D10" s="2">
        <v>50.0</v>
      </c>
      <c r="E10" s="2">
        <v>1.0</v>
      </c>
      <c r="F10" s="2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5.1</v>
      </c>
      <c r="B11" s="3" t="s">
        <v>12</v>
      </c>
      <c r="C11" s="3" t="s">
        <v>11</v>
      </c>
      <c r="D11" s="2">
        <v>53.0</v>
      </c>
      <c r="E11" s="2" t="s">
        <v>14</v>
      </c>
      <c r="F11" s="2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5.2</v>
      </c>
      <c r="B12" s="3" t="s">
        <v>12</v>
      </c>
      <c r="C12" s="3" t="s">
        <v>11</v>
      </c>
      <c r="D12" s="2">
        <v>52.0</v>
      </c>
      <c r="E12" s="2" t="s">
        <v>14</v>
      </c>
      <c r="F12" s="2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5.3</v>
      </c>
      <c r="B13" s="3" t="s">
        <v>10</v>
      </c>
      <c r="C13" s="3" t="s">
        <v>11</v>
      </c>
      <c r="D13" s="2">
        <v>54.0</v>
      </c>
      <c r="E13" s="2">
        <v>1.0</v>
      </c>
      <c r="F13" s="2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5.4</v>
      </c>
      <c r="B14" s="3" t="s">
        <v>10</v>
      </c>
      <c r="C14" s="3" t="s">
        <v>11</v>
      </c>
      <c r="D14" s="2">
        <v>44.0</v>
      </c>
      <c r="E14" s="2" t="s">
        <v>14</v>
      </c>
      <c r="F14" s="2">
        <v>1.0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5.5</v>
      </c>
      <c r="B15" s="3" t="s">
        <v>12</v>
      </c>
      <c r="C15" s="3" t="s">
        <v>11</v>
      </c>
      <c r="D15" s="2">
        <v>46.0</v>
      </c>
      <c r="E15" s="2">
        <v>1.0</v>
      </c>
      <c r="F15" s="2">
        <v>1.0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5.6</v>
      </c>
      <c r="B16" s="3" t="s">
        <v>12</v>
      </c>
      <c r="C16" s="3" t="s">
        <v>11</v>
      </c>
      <c r="D16" s="2">
        <v>54.0</v>
      </c>
      <c r="E16" s="2" t="s">
        <v>14</v>
      </c>
      <c r="F16" s="2">
        <v>1.0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5.7</v>
      </c>
      <c r="B17" s="3" t="s">
        <v>12</v>
      </c>
      <c r="C17" s="3" t="s">
        <v>11</v>
      </c>
      <c r="D17" s="2">
        <v>45.0</v>
      </c>
      <c r="E17" s="2" t="s">
        <v>14</v>
      </c>
      <c r="F17" s="2">
        <v>1.0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5.8</v>
      </c>
      <c r="B18" s="3" t="s">
        <v>12</v>
      </c>
      <c r="C18" s="3" t="s">
        <v>11</v>
      </c>
      <c r="D18" s="2">
        <v>53.0</v>
      </c>
      <c r="E18" s="2">
        <v>1.0</v>
      </c>
      <c r="F18" s="2">
        <v>1.0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5.9</v>
      </c>
      <c r="B19" s="3" t="s">
        <v>26</v>
      </c>
      <c r="C19" s="3" t="s">
        <v>11</v>
      </c>
      <c r="D19" s="2">
        <v>57.0</v>
      </c>
      <c r="E19" s="2" t="s">
        <v>14</v>
      </c>
      <c r="F19" s="2">
        <v>1.0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6.0</v>
      </c>
      <c r="B20" s="3" t="s">
        <v>10</v>
      </c>
      <c r="C20" s="3" t="s">
        <v>11</v>
      </c>
      <c r="D20" s="2">
        <v>53.0</v>
      </c>
      <c r="E20" s="2" t="s">
        <v>14</v>
      </c>
      <c r="F20" s="2">
        <v>1.0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7.0</v>
      </c>
      <c r="B21" s="3" t="s">
        <v>29</v>
      </c>
      <c r="C21" s="3" t="s">
        <v>22</v>
      </c>
      <c r="D21" s="2">
        <v>34.0</v>
      </c>
      <c r="E21" s="2" t="s">
        <v>14</v>
      </c>
      <c r="F21" s="2">
        <v>1.0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8.0</v>
      </c>
      <c r="B22" s="3" t="s">
        <v>12</v>
      </c>
      <c r="C22" s="3" t="s">
        <v>11</v>
      </c>
      <c r="D22" s="2">
        <v>42.0</v>
      </c>
      <c r="E22" s="2" t="s">
        <v>14</v>
      </c>
      <c r="F22" s="2">
        <v>1.0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9.0</v>
      </c>
      <c r="B23" s="3" t="s">
        <v>12</v>
      </c>
      <c r="C23" s="3" t="s">
        <v>11</v>
      </c>
      <c r="D23" s="2">
        <v>33.0</v>
      </c>
      <c r="E23" s="2" t="s">
        <v>14</v>
      </c>
      <c r="F23" s="2">
        <v>1.0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10.0</v>
      </c>
      <c r="B24" s="3" t="s">
        <v>20</v>
      </c>
      <c r="C24" s="3" t="s">
        <v>22</v>
      </c>
      <c r="D24" s="2">
        <v>35.0</v>
      </c>
      <c r="E24" s="2">
        <v>1.0</v>
      </c>
      <c r="F24" s="2">
        <v>1.0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10.1</v>
      </c>
      <c r="B25" s="3" t="s">
        <v>12</v>
      </c>
      <c r="C25" s="3" t="s">
        <v>11</v>
      </c>
      <c r="D25" s="2">
        <v>35.0</v>
      </c>
      <c r="E25" s="2" t="s">
        <v>14</v>
      </c>
      <c r="F25" s="2">
        <v>1.0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10.2</v>
      </c>
      <c r="B26" s="3" t="s">
        <v>24</v>
      </c>
      <c r="C26" s="3" t="s">
        <v>22</v>
      </c>
      <c r="D26" s="2">
        <v>38.0</v>
      </c>
      <c r="E26" s="2" t="s">
        <v>14</v>
      </c>
      <c r="F26" s="2">
        <v>1.0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11.0</v>
      </c>
      <c r="B27" s="3" t="s">
        <v>12</v>
      </c>
      <c r="C27" s="3" t="s">
        <v>11</v>
      </c>
      <c r="D27" s="2">
        <v>40.0</v>
      </c>
      <c r="E27" s="2" t="s">
        <v>14</v>
      </c>
      <c r="F27" s="2">
        <v>1.0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12.0</v>
      </c>
      <c r="B28" s="3" t="s">
        <v>29</v>
      </c>
      <c r="C28" s="3" t="s">
        <v>33</v>
      </c>
      <c r="D28" s="2">
        <v>37.0</v>
      </c>
      <c r="E28" s="2" t="s">
        <v>14</v>
      </c>
      <c r="F28" s="2">
        <v>1.0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13.0</v>
      </c>
      <c r="B29" s="2" t="s">
        <v>29</v>
      </c>
      <c r="C29" s="3" t="s">
        <v>11</v>
      </c>
      <c r="D29" s="2">
        <v>6.0</v>
      </c>
      <c r="E29" s="2">
        <v>1.0</v>
      </c>
      <c r="F29" s="2">
        <v>1.0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14.0</v>
      </c>
      <c r="B30" s="3" t="s">
        <v>24</v>
      </c>
      <c r="C30" s="3" t="s">
        <v>11</v>
      </c>
      <c r="D30" s="2">
        <v>44.0</v>
      </c>
      <c r="E30" s="2" t="s">
        <v>14</v>
      </c>
      <c r="F30" s="2">
        <v>1.0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1.0</v>
      </c>
      <c r="B31" s="3" t="s">
        <v>12</v>
      </c>
      <c r="C31" s="3" t="s">
        <v>11</v>
      </c>
      <c r="D31" s="2">
        <v>15.0</v>
      </c>
      <c r="E31" s="2">
        <v>1.0</v>
      </c>
      <c r="F31" s="2">
        <v>2.0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2.0</v>
      </c>
      <c r="B32" s="3" t="s">
        <v>10</v>
      </c>
      <c r="C32" s="3" t="s">
        <v>11</v>
      </c>
      <c r="D32" s="2">
        <v>16.0</v>
      </c>
      <c r="E32" s="2" t="s">
        <v>14</v>
      </c>
      <c r="F32" s="2">
        <v>2.0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3.0</v>
      </c>
      <c r="B33" s="3" t="s">
        <v>12</v>
      </c>
      <c r="C33" s="3" t="s">
        <v>11</v>
      </c>
      <c r="D33" s="2">
        <v>46.0</v>
      </c>
      <c r="E33" s="2" t="s">
        <v>14</v>
      </c>
      <c r="F33" s="2">
        <v>2.0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4.0</v>
      </c>
      <c r="B34" s="3" t="s">
        <v>12</v>
      </c>
      <c r="C34" s="3" t="s">
        <v>11</v>
      </c>
      <c r="D34" s="2">
        <v>38.0</v>
      </c>
      <c r="E34" s="2" t="s">
        <v>14</v>
      </c>
      <c r="F34" s="2">
        <v>2.0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5.0</v>
      </c>
      <c r="B35" s="3" t="s">
        <v>35</v>
      </c>
      <c r="C35" s="3" t="s">
        <v>11</v>
      </c>
      <c r="D35" s="2">
        <v>52.0</v>
      </c>
      <c r="E35" s="2">
        <v>1.0</v>
      </c>
      <c r="F35" s="2">
        <v>2.0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6.0</v>
      </c>
      <c r="B36" s="3" t="s">
        <v>19</v>
      </c>
      <c r="C36" s="3" t="s">
        <v>11</v>
      </c>
      <c r="D36" s="2">
        <v>47.0</v>
      </c>
      <c r="E36" s="2" t="s">
        <v>14</v>
      </c>
      <c r="F36" s="2">
        <v>2.0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>
        <v>7.0</v>
      </c>
      <c r="B37" s="3" t="s">
        <v>12</v>
      </c>
      <c r="C37" s="3" t="s">
        <v>11</v>
      </c>
      <c r="D37" s="2">
        <v>28.0</v>
      </c>
      <c r="E37" s="2" t="s">
        <v>14</v>
      </c>
      <c r="F37" s="2">
        <v>2.0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1.0</v>
      </c>
      <c r="B38" s="3" t="s">
        <v>12</v>
      </c>
      <c r="C38" s="3" t="s">
        <v>11</v>
      </c>
      <c r="D38" s="2">
        <v>42.0</v>
      </c>
      <c r="E38" s="2" t="s">
        <v>14</v>
      </c>
      <c r="F38" s="2">
        <v>3.0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2.0</v>
      </c>
      <c r="B39" s="3" t="s">
        <v>12</v>
      </c>
      <c r="C39" s="3" t="s">
        <v>11</v>
      </c>
      <c r="D39" s="2">
        <v>33.0</v>
      </c>
      <c r="E39" s="2" t="s">
        <v>14</v>
      </c>
      <c r="F39" s="2">
        <v>3.0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3.0</v>
      </c>
      <c r="B40" s="3" t="s">
        <v>35</v>
      </c>
      <c r="C40" s="3" t="s">
        <v>11</v>
      </c>
      <c r="D40" s="2">
        <v>30.0</v>
      </c>
      <c r="E40" s="2" t="s">
        <v>14</v>
      </c>
      <c r="F40" s="2">
        <v>3.0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4.0</v>
      </c>
      <c r="B41" s="2" t="s">
        <v>19</v>
      </c>
      <c r="C41" s="3" t="s">
        <v>11</v>
      </c>
      <c r="D41" s="2">
        <v>31.0</v>
      </c>
      <c r="E41" s="2" t="s">
        <v>14</v>
      </c>
      <c r="F41" s="2">
        <v>3.0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5.0</v>
      </c>
      <c r="B42" s="2" t="s">
        <v>12</v>
      </c>
      <c r="C42" s="3" t="s">
        <v>11</v>
      </c>
      <c r="D42" s="2">
        <v>53.0</v>
      </c>
      <c r="E42" s="2" t="s">
        <v>14</v>
      </c>
      <c r="F42" s="2">
        <v>3.0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6.0</v>
      </c>
      <c r="B43" s="2" t="s">
        <v>12</v>
      </c>
      <c r="C43" s="3" t="s">
        <v>11</v>
      </c>
      <c r="D43" s="2">
        <v>24.0</v>
      </c>
      <c r="E43" s="2" t="s">
        <v>14</v>
      </c>
      <c r="F43" s="2">
        <v>3.0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7.0</v>
      </c>
      <c r="B44" s="2" t="s">
        <v>19</v>
      </c>
      <c r="C44" s="3" t="s">
        <v>11</v>
      </c>
      <c r="D44" s="2">
        <v>46.0</v>
      </c>
      <c r="E44" s="2">
        <v>1.0</v>
      </c>
      <c r="F44" s="2">
        <v>3.0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>
        <v>7.1</v>
      </c>
      <c r="B45" s="2" t="s">
        <v>12</v>
      </c>
      <c r="C45" s="3" t="s">
        <v>11</v>
      </c>
      <c r="D45" s="2">
        <v>50.0</v>
      </c>
      <c r="E45" s="2" t="s">
        <v>14</v>
      </c>
      <c r="F45" s="2">
        <v>3.0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7.2</v>
      </c>
      <c r="B46" s="2" t="s">
        <v>12</v>
      </c>
      <c r="C46" s="3" t="s">
        <v>11</v>
      </c>
      <c r="D46" s="2">
        <v>54.0</v>
      </c>
      <c r="E46" s="2">
        <v>1.0</v>
      </c>
      <c r="F46" s="2">
        <v>3.0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7.3</v>
      </c>
      <c r="B47" s="2" t="s">
        <v>12</v>
      </c>
      <c r="C47" s="3" t="s">
        <v>11</v>
      </c>
      <c r="D47" s="2">
        <v>43.0</v>
      </c>
      <c r="E47" s="2" t="s">
        <v>14</v>
      </c>
      <c r="F47" s="2">
        <v>3.0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7.4</v>
      </c>
      <c r="B48" s="2" t="s">
        <v>12</v>
      </c>
      <c r="C48" s="3" t="s">
        <v>11</v>
      </c>
      <c r="D48" s="2">
        <v>55.0</v>
      </c>
      <c r="E48" s="2">
        <v>1.0</v>
      </c>
      <c r="F48" s="2">
        <v>3.0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7.5</v>
      </c>
      <c r="B49" s="2" t="s">
        <v>12</v>
      </c>
      <c r="C49" s="3" t="s">
        <v>11</v>
      </c>
      <c r="D49" s="2">
        <v>50.0</v>
      </c>
      <c r="E49" s="2" t="s">
        <v>14</v>
      </c>
      <c r="F49" s="2">
        <v>3.0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7.6</v>
      </c>
      <c r="B50" s="2" t="s">
        <v>12</v>
      </c>
      <c r="C50" s="3" t="s">
        <v>11</v>
      </c>
      <c r="D50" s="2">
        <v>50.0</v>
      </c>
      <c r="E50" s="2" t="s">
        <v>14</v>
      </c>
      <c r="F50" s="2">
        <v>3.0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7.7</v>
      </c>
      <c r="B51" s="2" t="s">
        <v>19</v>
      </c>
      <c r="C51" s="3" t="s">
        <v>11</v>
      </c>
      <c r="D51" s="2">
        <v>50.0</v>
      </c>
      <c r="E51" s="2" t="s">
        <v>14</v>
      </c>
      <c r="F51" s="2">
        <v>3.0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>
        <v>7.8</v>
      </c>
      <c r="B52" s="2" t="s">
        <v>24</v>
      </c>
      <c r="C52" s="3" t="s">
        <v>11</v>
      </c>
      <c r="D52" s="2">
        <v>15.0</v>
      </c>
      <c r="E52" s="2">
        <v>1.0</v>
      </c>
      <c r="F52" s="2">
        <v>3.0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7.9</v>
      </c>
      <c r="B53" s="2" t="s">
        <v>12</v>
      </c>
      <c r="C53" s="3" t="s">
        <v>11</v>
      </c>
      <c r="D53" s="2">
        <v>51.0</v>
      </c>
      <c r="E53" s="2" t="s">
        <v>14</v>
      </c>
      <c r="F53" s="2">
        <v>3.0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>
        <v>7.1</v>
      </c>
      <c r="B54" s="2" t="s">
        <v>12</v>
      </c>
      <c r="C54" s="3" t="s">
        <v>11</v>
      </c>
      <c r="D54" s="2">
        <v>50.0</v>
      </c>
      <c r="E54" s="2" t="s">
        <v>14</v>
      </c>
      <c r="F54" s="2">
        <v>3.0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>
        <v>7.11</v>
      </c>
      <c r="B55" s="2" t="s">
        <v>26</v>
      </c>
      <c r="C55" s="3" t="s">
        <v>11</v>
      </c>
      <c r="D55" s="2">
        <v>50.0</v>
      </c>
      <c r="E55" s="2">
        <v>1.0</v>
      </c>
      <c r="F55" s="2">
        <v>3.0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>
        <v>8.0</v>
      </c>
      <c r="B56" s="2" t="s">
        <v>12</v>
      </c>
      <c r="C56" s="3" t="s">
        <v>11</v>
      </c>
      <c r="D56" s="2">
        <v>39.0</v>
      </c>
      <c r="E56" s="2" t="s">
        <v>14</v>
      </c>
      <c r="F56" s="2">
        <v>3.0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>
        <v>9.0</v>
      </c>
      <c r="B57" s="2" t="s">
        <v>12</v>
      </c>
      <c r="C57" s="3" t="s">
        <v>11</v>
      </c>
      <c r="D57" s="2">
        <v>42.0</v>
      </c>
      <c r="E57" s="2">
        <v>1.0</v>
      </c>
      <c r="F57" s="2">
        <v>3.0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>
        <v>10.0</v>
      </c>
      <c r="B58" s="2" t="s">
        <v>12</v>
      </c>
      <c r="C58" s="3" t="s">
        <v>11</v>
      </c>
      <c r="D58" s="2">
        <v>53.0</v>
      </c>
      <c r="E58" s="2" t="s">
        <v>14</v>
      </c>
      <c r="F58" s="2">
        <v>3.0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>
        <v>11.0</v>
      </c>
      <c r="B59" s="2" t="s">
        <v>12</v>
      </c>
      <c r="C59" s="3" t="s">
        <v>11</v>
      </c>
      <c r="D59" s="2">
        <v>49.0</v>
      </c>
      <c r="E59" s="2">
        <v>1.0</v>
      </c>
      <c r="F59" s="2">
        <v>3.0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>
        <v>12.0</v>
      </c>
      <c r="B60" s="2" t="s">
        <v>12</v>
      </c>
      <c r="C60" s="3" t="s">
        <v>11</v>
      </c>
      <c r="D60" s="2">
        <v>51.0</v>
      </c>
      <c r="E60" s="2" t="s">
        <v>14</v>
      </c>
      <c r="F60" s="2">
        <v>3.0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>
        <v>13.0</v>
      </c>
      <c r="B61" s="2" t="s">
        <v>12</v>
      </c>
      <c r="C61" s="3" t="s">
        <v>11</v>
      </c>
      <c r="D61" s="2">
        <v>45.0</v>
      </c>
      <c r="E61" s="2">
        <v>1.0</v>
      </c>
      <c r="F61" s="2">
        <v>3.0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>
        <v>14.0</v>
      </c>
      <c r="B62" s="2" t="s">
        <v>12</v>
      </c>
      <c r="C62" s="3" t="s">
        <v>11</v>
      </c>
      <c r="D62" s="2">
        <v>49.0</v>
      </c>
      <c r="E62" s="2" t="s">
        <v>14</v>
      </c>
      <c r="F62" s="2">
        <v>3.0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>
        <v>15.0</v>
      </c>
      <c r="B63" s="2" t="s">
        <v>19</v>
      </c>
      <c r="C63" s="3" t="s">
        <v>11</v>
      </c>
      <c r="D63" s="2">
        <v>52.0</v>
      </c>
      <c r="E63" s="2">
        <v>1.0</v>
      </c>
      <c r="F63" s="2">
        <v>3.0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>
        <v>15.1</v>
      </c>
      <c r="B64" s="2" t="s">
        <v>12</v>
      </c>
      <c r="C64" s="3" t="s">
        <v>11</v>
      </c>
      <c r="D64" s="2">
        <v>47.0</v>
      </c>
      <c r="E64" s="2" t="s">
        <v>14</v>
      </c>
      <c r="F64" s="2">
        <v>3.0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>
        <v>15.2</v>
      </c>
      <c r="B65" s="2" t="s">
        <v>12</v>
      </c>
      <c r="C65" s="3" t="s">
        <v>11</v>
      </c>
      <c r="D65" s="2">
        <v>46.0</v>
      </c>
      <c r="E65" s="2" t="s">
        <v>14</v>
      </c>
      <c r="F65" s="2">
        <v>3.0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>
        <v>15.3</v>
      </c>
      <c r="B66" s="2" t="s">
        <v>12</v>
      </c>
      <c r="C66" s="3" t="s">
        <v>11</v>
      </c>
      <c r="D66" s="2">
        <v>36.0</v>
      </c>
      <c r="E66" s="2">
        <v>1.0</v>
      </c>
      <c r="F66" s="2">
        <v>3.0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>
        <v>16.0</v>
      </c>
      <c r="B67" s="2" t="s">
        <v>12</v>
      </c>
      <c r="C67" s="3" t="s">
        <v>11</v>
      </c>
      <c r="D67" s="2">
        <v>51.0</v>
      </c>
      <c r="E67" s="2" t="s">
        <v>14</v>
      </c>
      <c r="F67" s="2">
        <v>3.0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>
        <v>17.0</v>
      </c>
      <c r="B68" s="2" t="s">
        <v>26</v>
      </c>
      <c r="C68" s="3" t="s">
        <v>11</v>
      </c>
      <c r="D68" s="2">
        <v>46.0</v>
      </c>
      <c r="E68" s="2" t="s">
        <v>14</v>
      </c>
      <c r="F68" s="2">
        <v>3.0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24</v>
      </c>
      <c r="C2" s="3" t="s">
        <v>22</v>
      </c>
      <c r="D2" s="2">
        <v>17.0</v>
      </c>
      <c r="E2" s="2" t="s">
        <v>14</v>
      </c>
      <c r="F2" s="2">
        <v>1.0</v>
      </c>
      <c r="G2" s="2"/>
      <c r="H2" s="2">
        <f>COUNT(A2:A39)</f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29</v>
      </c>
      <c r="C3" s="3" t="s">
        <v>22</v>
      </c>
      <c r="D3" s="2">
        <v>17.0</v>
      </c>
      <c r="E3" s="2" t="s">
        <v>14</v>
      </c>
      <c r="F3" s="2">
        <v>1.0</v>
      </c>
      <c r="G3" s="2"/>
      <c r="H3" s="2">
        <f>SUM(D2:D39)</f>
        <v>370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12</v>
      </c>
      <c r="C4" s="3" t="s">
        <v>11</v>
      </c>
      <c r="D4" s="2">
        <v>20.0</v>
      </c>
      <c r="E4" s="2" t="s">
        <v>14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3.1</v>
      </c>
      <c r="B5" s="3" t="s">
        <v>12</v>
      </c>
      <c r="C5" s="3" t="s">
        <v>11</v>
      </c>
      <c r="D5" s="2">
        <v>14.0</v>
      </c>
      <c r="E5" s="2" t="s">
        <v>14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4.0</v>
      </c>
      <c r="B6" s="3" t="s">
        <v>12</v>
      </c>
      <c r="C6" s="3" t="s">
        <v>11</v>
      </c>
      <c r="D6" s="2">
        <v>20.0</v>
      </c>
      <c r="E6" s="2" t="s">
        <v>14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5.0</v>
      </c>
      <c r="B7" s="3" t="s">
        <v>12</v>
      </c>
      <c r="C7" s="3" t="s">
        <v>11</v>
      </c>
      <c r="D7" s="2">
        <v>40.0</v>
      </c>
      <c r="E7" s="2">
        <v>1.0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6.0</v>
      </c>
      <c r="B8" s="3" t="s">
        <v>12</v>
      </c>
      <c r="C8" s="3" t="s">
        <v>11</v>
      </c>
      <c r="D8" s="2">
        <v>35.0</v>
      </c>
      <c r="E8" s="2" t="s">
        <v>14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7.0</v>
      </c>
      <c r="B9" s="3" t="s">
        <v>34</v>
      </c>
      <c r="C9" s="3" t="s">
        <v>11</v>
      </c>
      <c r="D9" s="2">
        <v>35.0</v>
      </c>
      <c r="E9" s="2">
        <v>1.0</v>
      </c>
      <c r="F9" s="2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7.1</v>
      </c>
      <c r="B10" s="3" t="s">
        <v>29</v>
      </c>
      <c r="C10" s="3" t="s">
        <v>22</v>
      </c>
      <c r="D10" s="2">
        <v>8.0</v>
      </c>
      <c r="E10" s="2" t="s">
        <v>14</v>
      </c>
      <c r="F10" s="2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7.2</v>
      </c>
      <c r="B11" s="3" t="s">
        <v>12</v>
      </c>
      <c r="C11" s="3" t="s">
        <v>11</v>
      </c>
      <c r="D11" s="2">
        <v>46.0</v>
      </c>
      <c r="E11" s="2" t="s">
        <v>14</v>
      </c>
      <c r="F11" s="2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7.3</v>
      </c>
      <c r="B12" s="3" t="s">
        <v>24</v>
      </c>
      <c r="C12" s="3" t="s">
        <v>22</v>
      </c>
      <c r="D12" s="2">
        <v>45.0</v>
      </c>
      <c r="E12" s="2">
        <v>1.0</v>
      </c>
      <c r="F12" s="2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8.0</v>
      </c>
      <c r="B13" s="3" t="s">
        <v>12</v>
      </c>
      <c r="C13" s="3" t="s">
        <v>11</v>
      </c>
      <c r="D13" s="2">
        <v>36.0</v>
      </c>
      <c r="E13" s="2" t="s">
        <v>14</v>
      </c>
      <c r="F13" s="2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9.0</v>
      </c>
      <c r="B14" s="3" t="s">
        <v>12</v>
      </c>
      <c r="C14" s="3" t="s">
        <v>11</v>
      </c>
      <c r="D14" s="2">
        <v>37.0</v>
      </c>
      <c r="E14" s="2" t="s">
        <v>14</v>
      </c>
      <c r="F14" s="2">
        <v>1.0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3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12</v>
      </c>
      <c r="C2" s="3" t="s">
        <v>11</v>
      </c>
      <c r="D2" s="2">
        <v>26.0</v>
      </c>
      <c r="E2" s="2" t="s">
        <v>14</v>
      </c>
      <c r="F2" s="2">
        <v>1.0</v>
      </c>
      <c r="G2" s="2"/>
      <c r="H2" s="2">
        <f>COUNT(A2:A40)</f>
        <v>39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19</v>
      </c>
      <c r="C3" s="3" t="s">
        <v>11</v>
      </c>
      <c r="D3" s="2">
        <v>27.0</v>
      </c>
      <c r="E3" s="2" t="s">
        <v>14</v>
      </c>
      <c r="F3" s="2">
        <v>1.0</v>
      </c>
      <c r="G3" s="2"/>
      <c r="H3" s="2">
        <f>SUM(D2:D40)</f>
        <v>1642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12</v>
      </c>
      <c r="C4" s="3" t="s">
        <v>11</v>
      </c>
      <c r="D4" s="2">
        <v>47.0</v>
      </c>
      <c r="E4" s="2" t="s">
        <v>14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3" t="s">
        <v>12</v>
      </c>
      <c r="C5" s="3" t="s">
        <v>11</v>
      </c>
      <c r="D5" s="2">
        <v>50.0</v>
      </c>
      <c r="E5" s="2" t="s">
        <v>14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3" t="s">
        <v>19</v>
      </c>
      <c r="C6" s="3" t="s">
        <v>11</v>
      </c>
      <c r="D6" s="2">
        <v>50.0</v>
      </c>
      <c r="E6" s="2">
        <v>1.0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5.1</v>
      </c>
      <c r="B7" s="3" t="s">
        <v>19</v>
      </c>
      <c r="C7" s="3" t="s">
        <v>11</v>
      </c>
      <c r="D7" s="2">
        <v>49.0</v>
      </c>
      <c r="E7" s="2">
        <v>1.0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5.2</v>
      </c>
      <c r="B8" s="3" t="s">
        <v>12</v>
      </c>
      <c r="C8" s="3" t="s">
        <v>11</v>
      </c>
      <c r="D8" s="2">
        <v>52.0</v>
      </c>
      <c r="E8" s="2" t="s">
        <v>14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5.3</v>
      </c>
      <c r="B9" s="3" t="s">
        <v>26</v>
      </c>
      <c r="C9" s="3" t="s">
        <v>11</v>
      </c>
      <c r="D9" s="2">
        <v>51.0</v>
      </c>
      <c r="E9" s="2" t="s">
        <v>14</v>
      </c>
      <c r="F9" s="2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5.4</v>
      </c>
      <c r="B10" s="3" t="s">
        <v>29</v>
      </c>
      <c r="C10" s="3" t="s">
        <v>22</v>
      </c>
      <c r="D10" s="2">
        <v>26.0</v>
      </c>
      <c r="E10" s="2" t="s">
        <v>14</v>
      </c>
      <c r="F10" s="2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5.5</v>
      </c>
      <c r="B11" s="3" t="s">
        <v>29</v>
      </c>
      <c r="C11" s="3" t="s">
        <v>22</v>
      </c>
      <c r="D11" s="2">
        <v>13.0</v>
      </c>
      <c r="E11" s="2" t="s">
        <v>14</v>
      </c>
      <c r="F11" s="2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5.6</v>
      </c>
      <c r="B12" s="3" t="s">
        <v>20</v>
      </c>
      <c r="C12" s="3" t="s">
        <v>22</v>
      </c>
      <c r="D12" s="2">
        <v>8.0</v>
      </c>
      <c r="E12" s="2">
        <v>1.0</v>
      </c>
      <c r="F12" s="2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5.7</v>
      </c>
      <c r="B13" s="3" t="s">
        <v>10</v>
      </c>
      <c r="C13" s="3" t="s">
        <v>11</v>
      </c>
      <c r="D13" s="2">
        <v>52.0</v>
      </c>
      <c r="E13" s="2" t="s">
        <v>14</v>
      </c>
      <c r="F13" s="2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6.0</v>
      </c>
      <c r="B14" s="3" t="s">
        <v>10</v>
      </c>
      <c r="C14" s="3" t="s">
        <v>11</v>
      </c>
      <c r="D14" s="2">
        <v>46.0</v>
      </c>
      <c r="E14" s="2" t="s">
        <v>14</v>
      </c>
      <c r="F14" s="2">
        <v>1.0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7.0</v>
      </c>
      <c r="B15" s="3" t="s">
        <v>12</v>
      </c>
      <c r="C15" s="3" t="s">
        <v>11</v>
      </c>
      <c r="D15" s="2">
        <v>55.0</v>
      </c>
      <c r="E15" s="2" t="s">
        <v>14</v>
      </c>
      <c r="F15" s="2">
        <v>1.0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8.0</v>
      </c>
      <c r="B16" s="3" t="s">
        <v>12</v>
      </c>
      <c r="C16" s="3" t="s">
        <v>11</v>
      </c>
      <c r="D16" s="2">
        <v>53.0</v>
      </c>
      <c r="E16" s="2" t="s">
        <v>14</v>
      </c>
      <c r="F16" s="2">
        <v>1.0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9.0</v>
      </c>
      <c r="B17" s="3" t="s">
        <v>19</v>
      </c>
      <c r="C17" s="3" t="s">
        <v>11</v>
      </c>
      <c r="D17" s="2">
        <v>49.0</v>
      </c>
      <c r="E17" s="2" t="s">
        <v>14</v>
      </c>
      <c r="F17" s="2">
        <v>1.0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10.0</v>
      </c>
      <c r="B18" s="3" t="s">
        <v>12</v>
      </c>
      <c r="C18" s="3" t="s">
        <v>11</v>
      </c>
      <c r="D18" s="2">
        <v>51.0</v>
      </c>
      <c r="E18" s="2" t="s">
        <v>14</v>
      </c>
      <c r="F18" s="2">
        <v>1.0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11.0</v>
      </c>
      <c r="B19" s="3" t="s">
        <v>12</v>
      </c>
      <c r="C19" s="3" t="s">
        <v>11</v>
      </c>
      <c r="D19" s="2">
        <v>41.0</v>
      </c>
      <c r="E19" s="2" t="s">
        <v>14</v>
      </c>
      <c r="F19" s="2">
        <v>1.0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12.0</v>
      </c>
      <c r="B20" s="3" t="s">
        <v>12</v>
      </c>
      <c r="C20" s="3" t="s">
        <v>11</v>
      </c>
      <c r="D20" s="2">
        <v>44.0</v>
      </c>
      <c r="E20" s="2" t="s">
        <v>14</v>
      </c>
      <c r="F20" s="2">
        <v>1.0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13.0</v>
      </c>
      <c r="B21" s="3" t="s">
        <v>10</v>
      </c>
      <c r="C21" s="3" t="s">
        <v>11</v>
      </c>
      <c r="D21" s="2">
        <v>44.0</v>
      </c>
      <c r="E21" s="2">
        <v>1.0</v>
      </c>
      <c r="F21" s="2">
        <v>1.0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14.0</v>
      </c>
      <c r="B22" s="3" t="s">
        <v>12</v>
      </c>
      <c r="C22" s="3" t="s">
        <v>11</v>
      </c>
      <c r="D22" s="2">
        <v>40.0</v>
      </c>
      <c r="E22" s="2" t="s">
        <v>14</v>
      </c>
      <c r="F22" s="2">
        <v>1.0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15.0</v>
      </c>
      <c r="B23" s="3" t="s">
        <v>10</v>
      </c>
      <c r="C23" s="3" t="s">
        <v>11</v>
      </c>
      <c r="D23" s="2">
        <v>42.0</v>
      </c>
      <c r="E23" s="2" t="s">
        <v>14</v>
      </c>
      <c r="F23" s="2">
        <v>1.0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16.0</v>
      </c>
      <c r="B24" s="3" t="s">
        <v>29</v>
      </c>
      <c r="C24" s="3" t="s">
        <v>22</v>
      </c>
      <c r="D24" s="2">
        <v>51.0</v>
      </c>
      <c r="E24" s="2">
        <v>1.0</v>
      </c>
      <c r="F24" s="2">
        <v>1.0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17.0</v>
      </c>
      <c r="B25" s="3" t="s">
        <v>12</v>
      </c>
      <c r="C25" s="3" t="s">
        <v>11</v>
      </c>
      <c r="D25" s="2">
        <v>39.0</v>
      </c>
      <c r="E25" s="2" t="s">
        <v>14</v>
      </c>
      <c r="F25" s="2">
        <v>1.0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18.0</v>
      </c>
      <c r="B26" s="3" t="s">
        <v>26</v>
      </c>
      <c r="C26" s="3" t="s">
        <v>22</v>
      </c>
      <c r="D26" s="2">
        <v>37.0</v>
      </c>
      <c r="E26" s="2" t="s">
        <v>14</v>
      </c>
      <c r="F26" s="2">
        <v>1.0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1.0</v>
      </c>
      <c r="B27" s="3" t="s">
        <v>10</v>
      </c>
      <c r="C27" s="3" t="s">
        <v>11</v>
      </c>
      <c r="D27" s="2">
        <v>12.0</v>
      </c>
      <c r="E27" s="2">
        <v>1.0</v>
      </c>
      <c r="F27" s="2">
        <v>2.0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2.0</v>
      </c>
      <c r="B28" s="3" t="s">
        <v>12</v>
      </c>
      <c r="C28" s="3" t="s">
        <v>11</v>
      </c>
      <c r="D28" s="2">
        <v>51.0</v>
      </c>
      <c r="E28" s="2" t="s">
        <v>14</v>
      </c>
      <c r="F28" s="2">
        <v>2.0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3.0</v>
      </c>
      <c r="B29" s="3" t="s">
        <v>19</v>
      </c>
      <c r="C29" s="3" t="s">
        <v>11</v>
      </c>
      <c r="D29" s="2">
        <v>51.0</v>
      </c>
      <c r="E29" s="2">
        <v>1.0</v>
      </c>
      <c r="F29" s="2">
        <v>2.0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4.0</v>
      </c>
      <c r="B30" s="3" t="s">
        <v>12</v>
      </c>
      <c r="C30" s="3" t="s">
        <v>11</v>
      </c>
      <c r="D30" s="2">
        <v>45.0</v>
      </c>
      <c r="E30" s="2" t="s">
        <v>14</v>
      </c>
      <c r="F30" s="2">
        <v>2.0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5.0</v>
      </c>
      <c r="B31" s="3" t="s">
        <v>12</v>
      </c>
      <c r="C31" s="3" t="s">
        <v>11</v>
      </c>
      <c r="D31" s="2">
        <v>50.0</v>
      </c>
      <c r="E31" s="2" t="s">
        <v>14</v>
      </c>
      <c r="F31" s="2">
        <v>2.0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6.0</v>
      </c>
      <c r="B32" s="2" t="s">
        <v>12</v>
      </c>
      <c r="C32" s="3" t="s">
        <v>11</v>
      </c>
      <c r="D32" s="2">
        <v>50.0</v>
      </c>
      <c r="E32" s="2">
        <v>1.0</v>
      </c>
      <c r="F32" s="2">
        <v>2.0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7.0</v>
      </c>
      <c r="B33" s="3" t="s">
        <v>12</v>
      </c>
      <c r="C33" s="3" t="s">
        <v>11</v>
      </c>
      <c r="D33" s="2">
        <v>51.0</v>
      </c>
      <c r="E33" s="2" t="s">
        <v>14</v>
      </c>
      <c r="F33" s="2">
        <v>2.0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8.0</v>
      </c>
      <c r="B34" s="3" t="s">
        <v>12</v>
      </c>
      <c r="C34" s="3" t="s">
        <v>11</v>
      </c>
      <c r="D34" s="2">
        <v>43.0</v>
      </c>
      <c r="E34" s="2" t="s">
        <v>14</v>
      </c>
      <c r="F34" s="2">
        <v>2.0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9.0</v>
      </c>
      <c r="B35" s="3" t="s">
        <v>26</v>
      </c>
      <c r="C35" s="3" t="s">
        <v>11</v>
      </c>
      <c r="D35" s="2">
        <v>54.0</v>
      </c>
      <c r="E35" s="2">
        <v>1.0</v>
      </c>
      <c r="F35" s="2">
        <v>2.0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1.0</v>
      </c>
      <c r="B36" s="3" t="s">
        <v>19</v>
      </c>
      <c r="C36" s="3" t="s">
        <v>11</v>
      </c>
      <c r="D36" s="2">
        <v>12.0</v>
      </c>
      <c r="E36" s="2" t="s">
        <v>14</v>
      </c>
      <c r="F36" s="2">
        <v>3.0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>
        <v>2.0</v>
      </c>
      <c r="B37" s="3" t="s">
        <v>19</v>
      </c>
      <c r="C37" s="3" t="s">
        <v>11</v>
      </c>
      <c r="D37" s="2">
        <v>37.0</v>
      </c>
      <c r="E37" s="2">
        <v>1.0</v>
      </c>
      <c r="F37" s="2">
        <v>3.0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3.0</v>
      </c>
      <c r="B38" s="3" t="s">
        <v>12</v>
      </c>
      <c r="C38" s="3" t="s">
        <v>11</v>
      </c>
      <c r="D38" s="2">
        <v>50.0</v>
      </c>
      <c r="E38" s="2" t="s">
        <v>14</v>
      </c>
      <c r="F38" s="2">
        <v>3.0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4.0</v>
      </c>
      <c r="B39" s="3" t="s">
        <v>12</v>
      </c>
      <c r="C39" s="3" t="s">
        <v>11</v>
      </c>
      <c r="D39" s="2">
        <v>49.0</v>
      </c>
      <c r="E39" s="2" t="s">
        <v>14</v>
      </c>
      <c r="F39" s="2">
        <v>3.0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5.0</v>
      </c>
      <c r="B40" s="3" t="s">
        <v>24</v>
      </c>
      <c r="C40" s="3" t="s">
        <v>22</v>
      </c>
      <c r="D40" s="2">
        <v>44.0</v>
      </c>
      <c r="E40" s="2">
        <v>1.0</v>
      </c>
      <c r="F40" s="2">
        <v>3.0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12</v>
      </c>
      <c r="C2" s="3" t="s">
        <v>11</v>
      </c>
      <c r="D2" s="2">
        <v>24.0</v>
      </c>
      <c r="E2" s="2" t="s">
        <v>14</v>
      </c>
      <c r="F2" s="2">
        <v>1.0</v>
      </c>
      <c r="G2" s="2"/>
      <c r="H2" s="2">
        <f>COUNT(A2:A39)</f>
        <v>25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12</v>
      </c>
      <c r="C3" s="3" t="s">
        <v>11</v>
      </c>
      <c r="D3" s="2">
        <v>24.0</v>
      </c>
      <c r="E3" s="2" t="s">
        <v>14</v>
      </c>
      <c r="F3" s="2">
        <v>1.0</v>
      </c>
      <c r="G3" s="2"/>
      <c r="H3" s="2">
        <f>SUM(D2:D39)</f>
        <v>927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12</v>
      </c>
      <c r="C4" s="3" t="s">
        <v>11</v>
      </c>
      <c r="D4" s="2">
        <v>50.0</v>
      </c>
      <c r="E4" s="2" t="s">
        <v>14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3" t="s">
        <v>12</v>
      </c>
      <c r="C5" s="3" t="s">
        <v>11</v>
      </c>
      <c r="D5" s="2">
        <v>49.0</v>
      </c>
      <c r="E5" s="2">
        <v>1.0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3" t="s">
        <v>12</v>
      </c>
      <c r="C6" s="3" t="s">
        <v>11</v>
      </c>
      <c r="D6" s="2">
        <v>50.0</v>
      </c>
      <c r="E6" s="2" t="s">
        <v>14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3" t="s">
        <v>12</v>
      </c>
      <c r="C7" s="3" t="s">
        <v>11</v>
      </c>
      <c r="D7" s="2">
        <v>51.0</v>
      </c>
      <c r="E7" s="2" t="s">
        <v>14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7.0</v>
      </c>
      <c r="B8" s="3" t="s">
        <v>12</v>
      </c>
      <c r="C8" s="3" t="s">
        <v>11</v>
      </c>
      <c r="D8" s="2">
        <v>49.0</v>
      </c>
      <c r="E8" s="2" t="s">
        <v>14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</v>
      </c>
      <c r="B9" s="3" t="s">
        <v>20</v>
      </c>
      <c r="C9" s="3" t="s">
        <v>22</v>
      </c>
      <c r="D9" s="2">
        <v>23.0</v>
      </c>
      <c r="E9" s="2">
        <v>1.0</v>
      </c>
      <c r="F9" s="2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8.1</v>
      </c>
      <c r="B10" s="3" t="s">
        <v>10</v>
      </c>
      <c r="C10" s="3" t="s">
        <v>11</v>
      </c>
      <c r="D10" s="2">
        <v>16.0</v>
      </c>
      <c r="E10" s="2" t="s">
        <v>14</v>
      </c>
      <c r="F10" s="2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8.2</v>
      </c>
      <c r="B11" s="3" t="s">
        <v>24</v>
      </c>
      <c r="C11" s="3" t="s">
        <v>22</v>
      </c>
      <c r="D11" s="2">
        <v>42.0</v>
      </c>
      <c r="E11" s="2" t="s">
        <v>14</v>
      </c>
      <c r="F11" s="2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9.0</v>
      </c>
      <c r="B12" s="3" t="s">
        <v>12</v>
      </c>
      <c r="C12" s="3" t="s">
        <v>11</v>
      </c>
      <c r="D12" s="2">
        <v>26.0</v>
      </c>
      <c r="E12" s="2" t="s">
        <v>14</v>
      </c>
      <c r="F12" s="2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10.0</v>
      </c>
      <c r="B13" s="3" t="s">
        <v>12</v>
      </c>
      <c r="C13" s="3" t="s">
        <v>11</v>
      </c>
      <c r="D13" s="2">
        <v>43.0</v>
      </c>
      <c r="E13" s="2" t="s">
        <v>14</v>
      </c>
      <c r="F13" s="2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11.0</v>
      </c>
      <c r="B14" s="3" t="s">
        <v>12</v>
      </c>
      <c r="C14" s="3" t="s">
        <v>11</v>
      </c>
      <c r="D14" s="2">
        <v>39.0</v>
      </c>
      <c r="E14" s="2" t="s">
        <v>14</v>
      </c>
      <c r="F14" s="2">
        <v>1.0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12.0</v>
      </c>
      <c r="B15" s="3" t="s">
        <v>26</v>
      </c>
      <c r="C15" s="3" t="s">
        <v>11</v>
      </c>
      <c r="D15" s="2">
        <v>37.0</v>
      </c>
      <c r="E15" s="2">
        <v>1.0</v>
      </c>
      <c r="F15" s="2">
        <v>1.0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1.0</v>
      </c>
      <c r="B16" s="3" t="s">
        <v>12</v>
      </c>
      <c r="C16" s="3" t="s">
        <v>11</v>
      </c>
      <c r="D16" s="2">
        <v>25.0</v>
      </c>
      <c r="E16" s="2" t="s">
        <v>14</v>
      </c>
      <c r="F16" s="2">
        <v>2.0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2.0</v>
      </c>
      <c r="B17" s="3" t="s">
        <v>12</v>
      </c>
      <c r="C17" s="3" t="s">
        <v>11</v>
      </c>
      <c r="D17" s="2">
        <v>24.0</v>
      </c>
      <c r="E17" s="2" t="s">
        <v>14</v>
      </c>
      <c r="F17" s="2">
        <v>2.0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3.0</v>
      </c>
      <c r="B18" s="3" t="s">
        <v>19</v>
      </c>
      <c r="C18" s="3" t="s">
        <v>11</v>
      </c>
      <c r="D18" s="2">
        <v>52.0</v>
      </c>
      <c r="E18" s="2">
        <v>1.0</v>
      </c>
      <c r="F18" s="2">
        <v>2.0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4.0</v>
      </c>
      <c r="B19" s="3" t="s">
        <v>12</v>
      </c>
      <c r="C19" s="3" t="s">
        <v>11</v>
      </c>
      <c r="D19" s="2">
        <v>50.0</v>
      </c>
      <c r="E19" s="2" t="s">
        <v>14</v>
      </c>
      <c r="F19" s="2">
        <v>2.0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5.0</v>
      </c>
      <c r="B20" s="3" t="s">
        <v>20</v>
      </c>
      <c r="C20" s="3" t="s">
        <v>22</v>
      </c>
      <c r="D20" s="2">
        <v>24.0</v>
      </c>
      <c r="E20" s="2">
        <v>1.0</v>
      </c>
      <c r="F20" s="2">
        <v>2.0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5.1</v>
      </c>
      <c r="B21" s="3" t="s">
        <v>12</v>
      </c>
      <c r="C21" s="3" t="s">
        <v>11</v>
      </c>
      <c r="D21" s="2">
        <v>17.0</v>
      </c>
      <c r="E21" s="2" t="s">
        <v>14</v>
      </c>
      <c r="F21" s="2">
        <v>2.0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5.2</v>
      </c>
      <c r="B22" s="3" t="s">
        <v>24</v>
      </c>
      <c r="C22" s="3" t="s">
        <v>22</v>
      </c>
      <c r="D22" s="2">
        <v>48.0</v>
      </c>
      <c r="E22" s="2" t="s">
        <v>14</v>
      </c>
      <c r="F22" s="2">
        <v>2.0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6.0</v>
      </c>
      <c r="B23" s="3" t="s">
        <v>29</v>
      </c>
      <c r="C23" s="3" t="s">
        <v>22</v>
      </c>
      <c r="D23" s="2">
        <v>27.0</v>
      </c>
      <c r="E23" s="2" t="s">
        <v>14</v>
      </c>
      <c r="F23" s="2">
        <v>2.0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7.0</v>
      </c>
      <c r="B24" s="3" t="s">
        <v>12</v>
      </c>
      <c r="C24" s="3" t="s">
        <v>11</v>
      </c>
      <c r="D24" s="2">
        <v>50.0</v>
      </c>
      <c r="E24" s="2" t="s">
        <v>14</v>
      </c>
      <c r="F24" s="2">
        <v>2.0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8.0</v>
      </c>
      <c r="B25" s="3" t="s">
        <v>12</v>
      </c>
      <c r="C25" s="3" t="s">
        <v>11</v>
      </c>
      <c r="D25" s="2">
        <v>50.0</v>
      </c>
      <c r="E25" s="2" t="s">
        <v>14</v>
      </c>
      <c r="F25" s="2">
        <v>2.0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9.0</v>
      </c>
      <c r="B26" s="3" t="s">
        <v>24</v>
      </c>
      <c r="C26" s="3" t="s">
        <v>22</v>
      </c>
      <c r="D26" s="2">
        <v>37.0</v>
      </c>
      <c r="E26" s="2">
        <v>1.0</v>
      </c>
      <c r="F26" s="2">
        <v>2.0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3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0.57"/>
    <col customWidth="1" min="3" max="3" width="13.14"/>
    <col customWidth="1" min="4" max="4" width="9.43"/>
    <col customWidth="1" min="5" max="5" width="6.0"/>
    <col customWidth="1" min="6" max="7" width="9.14"/>
    <col customWidth="1" min="8" max="8" width="9.86"/>
    <col customWidth="1" min="9" max="26" width="8.0"/>
  </cols>
  <sheetData>
    <row r="1">
      <c r="A1" s="2" t="s">
        <v>4</v>
      </c>
      <c r="B1" s="2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3" t="s">
        <v>29</v>
      </c>
      <c r="C2" s="3" t="s">
        <v>22</v>
      </c>
      <c r="D2" s="2">
        <v>11.0</v>
      </c>
      <c r="E2" s="2" t="s">
        <v>14</v>
      </c>
      <c r="F2" s="2">
        <v>1.0</v>
      </c>
      <c r="G2" s="2"/>
      <c r="H2" s="2">
        <f>COUNT(D2:D163)</f>
        <v>73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 t="s">
        <v>20</v>
      </c>
      <c r="C3" s="3" t="s">
        <v>22</v>
      </c>
      <c r="D3" s="2">
        <v>11.0</v>
      </c>
      <c r="E3" s="2" t="s">
        <v>14</v>
      </c>
      <c r="F3" s="2">
        <v>1.0</v>
      </c>
      <c r="G3" s="2"/>
      <c r="H3" s="2">
        <f>SUM(D2:D74)</f>
        <v>2509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 t="s">
        <v>29</v>
      </c>
      <c r="C4" s="3" t="s">
        <v>22</v>
      </c>
      <c r="D4" s="2">
        <v>31.0</v>
      </c>
      <c r="E4" s="2" t="s">
        <v>14</v>
      </c>
      <c r="F4" s="2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3" t="s">
        <v>20</v>
      </c>
      <c r="C5" s="3" t="s">
        <v>22</v>
      </c>
      <c r="D5" s="2">
        <v>43.0</v>
      </c>
      <c r="E5" s="2">
        <v>1.0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4.1</v>
      </c>
      <c r="B6" s="3" t="s">
        <v>29</v>
      </c>
      <c r="C6" s="3" t="s">
        <v>22</v>
      </c>
      <c r="D6" s="2">
        <v>25.0</v>
      </c>
      <c r="E6" s="2" t="s">
        <v>14</v>
      </c>
      <c r="F6" s="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4.2</v>
      </c>
      <c r="B7" s="3" t="s">
        <v>29</v>
      </c>
      <c r="C7" s="3" t="s">
        <v>22</v>
      </c>
      <c r="D7" s="2">
        <v>43.0</v>
      </c>
      <c r="E7" s="2" t="s">
        <v>14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4.3</v>
      </c>
      <c r="B8" s="3" t="s">
        <v>29</v>
      </c>
      <c r="C8" s="3" t="s">
        <v>22</v>
      </c>
      <c r="D8" s="2">
        <v>6.0</v>
      </c>
      <c r="E8" s="2" t="s">
        <v>14</v>
      </c>
      <c r="F8" s="2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4.4</v>
      </c>
      <c r="B9" s="3" t="s">
        <v>12</v>
      </c>
      <c r="C9" s="3" t="s">
        <v>11</v>
      </c>
      <c r="D9" s="2">
        <v>33.0</v>
      </c>
      <c r="E9" s="2" t="s">
        <v>14</v>
      </c>
      <c r="F9" s="2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4.5</v>
      </c>
      <c r="B10" s="3" t="s">
        <v>12</v>
      </c>
      <c r="C10" s="3" t="s">
        <v>11</v>
      </c>
      <c r="D10" s="2">
        <v>34.0</v>
      </c>
      <c r="E10" s="2" t="s">
        <v>14</v>
      </c>
      <c r="F10" s="2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4.6</v>
      </c>
      <c r="B11" s="3" t="s">
        <v>26</v>
      </c>
      <c r="C11" s="3" t="s">
        <v>22</v>
      </c>
      <c r="D11" s="2">
        <v>44.0</v>
      </c>
      <c r="E11" s="2">
        <v>1.0</v>
      </c>
      <c r="F11" s="2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5.0</v>
      </c>
      <c r="B12" s="3" t="s">
        <v>12</v>
      </c>
      <c r="C12" s="3" t="s">
        <v>11</v>
      </c>
      <c r="D12" s="2">
        <v>46.0</v>
      </c>
      <c r="E12" s="2" t="s">
        <v>14</v>
      </c>
      <c r="F12" s="2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6.0</v>
      </c>
      <c r="B13" s="3" t="s">
        <v>29</v>
      </c>
      <c r="C13" s="3" t="s">
        <v>22</v>
      </c>
      <c r="D13" s="2">
        <v>29.0</v>
      </c>
      <c r="E13" s="2" t="s">
        <v>14</v>
      </c>
      <c r="F13" s="2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7.0</v>
      </c>
      <c r="B14" s="3" t="s">
        <v>12</v>
      </c>
      <c r="C14" s="3" t="s">
        <v>11</v>
      </c>
      <c r="D14" s="2">
        <v>35.0</v>
      </c>
      <c r="E14" s="2">
        <v>1.0</v>
      </c>
      <c r="F14" s="2">
        <v>1.0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8.0</v>
      </c>
      <c r="B15" s="3" t="s">
        <v>12</v>
      </c>
      <c r="C15" s="3" t="s">
        <v>11</v>
      </c>
      <c r="D15" s="2">
        <v>36.0</v>
      </c>
      <c r="E15" s="2" t="s">
        <v>14</v>
      </c>
      <c r="F15" s="2">
        <v>1.0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9.0</v>
      </c>
      <c r="B16" s="3" t="s">
        <v>12</v>
      </c>
      <c r="C16" s="3" t="s">
        <v>11</v>
      </c>
      <c r="D16" s="2">
        <v>35.0</v>
      </c>
      <c r="E16" s="2" t="s">
        <v>14</v>
      </c>
      <c r="F16" s="2">
        <v>1.0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10.0</v>
      </c>
      <c r="B17" s="3" t="s">
        <v>12</v>
      </c>
      <c r="C17" s="3" t="s">
        <v>11</v>
      </c>
      <c r="D17" s="2">
        <v>40.0</v>
      </c>
      <c r="E17" s="2">
        <v>1.0</v>
      </c>
      <c r="F17" s="2">
        <v>1.0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11.0</v>
      </c>
      <c r="B18" s="3" t="s">
        <v>12</v>
      </c>
      <c r="C18" s="3" t="s">
        <v>11</v>
      </c>
      <c r="D18" s="2">
        <v>43.0</v>
      </c>
      <c r="E18" s="2" t="s">
        <v>14</v>
      </c>
      <c r="F18" s="2">
        <v>1.0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12.0</v>
      </c>
      <c r="B19" s="3" t="s">
        <v>12</v>
      </c>
      <c r="C19" s="3" t="s">
        <v>11</v>
      </c>
      <c r="D19" s="2">
        <v>43.0</v>
      </c>
      <c r="E19" s="2" t="s">
        <v>14</v>
      </c>
      <c r="F19" s="2">
        <v>1.0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13.0</v>
      </c>
      <c r="B20" s="3" t="s">
        <v>12</v>
      </c>
      <c r="C20" s="3" t="s">
        <v>11</v>
      </c>
      <c r="D20" s="2">
        <v>39.0</v>
      </c>
      <c r="E20" s="2" t="s">
        <v>14</v>
      </c>
      <c r="F20" s="2">
        <v>1.0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14.0</v>
      </c>
      <c r="B21" s="3" t="s">
        <v>12</v>
      </c>
      <c r="C21" s="3" t="s">
        <v>11</v>
      </c>
      <c r="D21" s="2">
        <v>39.0</v>
      </c>
      <c r="E21" s="2">
        <v>1.0</v>
      </c>
      <c r="F21" s="2">
        <v>1.0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15.0</v>
      </c>
      <c r="B22" s="3" t="s">
        <v>20</v>
      </c>
      <c r="C22" s="3" t="s">
        <v>22</v>
      </c>
      <c r="D22" s="2">
        <v>40.0</v>
      </c>
      <c r="E22" s="2" t="s">
        <v>14</v>
      </c>
      <c r="F22" s="2">
        <v>1.0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15.1</v>
      </c>
      <c r="B23" s="3" t="s">
        <v>29</v>
      </c>
      <c r="C23" s="3" t="s">
        <v>22</v>
      </c>
      <c r="D23" s="2">
        <v>17.0</v>
      </c>
      <c r="E23" s="2" t="s">
        <v>14</v>
      </c>
      <c r="F23" s="2">
        <v>1.0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15.2</v>
      </c>
      <c r="B24" s="3" t="s">
        <v>24</v>
      </c>
      <c r="C24" s="3" t="s">
        <v>22</v>
      </c>
      <c r="D24" s="2">
        <v>40.0</v>
      </c>
      <c r="E24" s="2" t="s">
        <v>14</v>
      </c>
      <c r="F24" s="2">
        <v>1.0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16.0</v>
      </c>
      <c r="B25" s="3" t="s">
        <v>12</v>
      </c>
      <c r="C25" s="3" t="s">
        <v>11</v>
      </c>
      <c r="D25" s="2">
        <v>39.0</v>
      </c>
      <c r="E25" s="2" t="s">
        <v>14</v>
      </c>
      <c r="F25" s="2">
        <v>1.0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17.0</v>
      </c>
      <c r="B26" s="3" t="s">
        <v>12</v>
      </c>
      <c r="C26" s="3" t="s">
        <v>11</v>
      </c>
      <c r="D26" s="2">
        <v>33.0</v>
      </c>
      <c r="E26" s="2" t="s">
        <v>14</v>
      </c>
      <c r="F26" s="2">
        <v>1.0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18.0</v>
      </c>
      <c r="B27" s="3" t="s">
        <v>19</v>
      </c>
      <c r="C27" s="3" t="s">
        <v>11</v>
      </c>
      <c r="D27" s="2">
        <v>43.0</v>
      </c>
      <c r="E27" s="2" t="s">
        <v>14</v>
      </c>
      <c r="F27" s="2">
        <v>1.0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19.0</v>
      </c>
      <c r="B28" s="3" t="s">
        <v>20</v>
      </c>
      <c r="C28" s="3" t="s">
        <v>22</v>
      </c>
      <c r="D28" s="2">
        <v>45.0</v>
      </c>
      <c r="E28" s="2">
        <v>1.0</v>
      </c>
      <c r="F28" s="2">
        <v>1.0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19.1</v>
      </c>
      <c r="B29" s="3" t="s">
        <v>12</v>
      </c>
      <c r="C29" s="3" t="s">
        <v>11</v>
      </c>
      <c r="D29" s="2">
        <v>45.0</v>
      </c>
      <c r="E29" s="2" t="s">
        <v>14</v>
      </c>
      <c r="F29" s="2">
        <v>1.0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19.2</v>
      </c>
      <c r="B30" s="3" t="s">
        <v>12</v>
      </c>
      <c r="C30" s="3" t="s">
        <v>11</v>
      </c>
      <c r="D30" s="2">
        <v>47.0</v>
      </c>
      <c r="E30" s="2" t="s">
        <v>14</v>
      </c>
      <c r="F30" s="2">
        <v>1.0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19.3</v>
      </c>
      <c r="B31" s="3" t="s">
        <v>12</v>
      </c>
      <c r="C31" s="3" t="s">
        <v>11</v>
      </c>
      <c r="D31" s="2">
        <v>46.0</v>
      </c>
      <c r="E31" s="2">
        <v>1.0</v>
      </c>
      <c r="F31" s="2">
        <v>1.0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19.4</v>
      </c>
      <c r="B32" s="2" t="s">
        <v>24</v>
      </c>
      <c r="C32" s="3" t="s">
        <v>22</v>
      </c>
      <c r="D32" s="2">
        <v>46.0</v>
      </c>
      <c r="E32" s="2" t="s">
        <v>14</v>
      </c>
      <c r="F32" s="2">
        <v>1.0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20.0</v>
      </c>
      <c r="B33" s="3" t="s">
        <v>24</v>
      </c>
      <c r="C33" s="3" t="s">
        <v>22</v>
      </c>
      <c r="D33" s="2">
        <v>41.0</v>
      </c>
      <c r="E33" s="2" t="s">
        <v>14</v>
      </c>
      <c r="F33" s="2">
        <v>1.0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1.0</v>
      </c>
      <c r="B34" s="3" t="s">
        <v>31</v>
      </c>
      <c r="C34" s="3" t="s">
        <v>22</v>
      </c>
      <c r="D34" s="2">
        <v>10.0</v>
      </c>
      <c r="E34" s="2" t="s">
        <v>14</v>
      </c>
      <c r="F34" s="2">
        <v>2.0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2.0</v>
      </c>
      <c r="B35" s="3" t="s">
        <v>12</v>
      </c>
      <c r="C35" s="3" t="s">
        <v>11</v>
      </c>
      <c r="D35" s="2">
        <v>42.0</v>
      </c>
      <c r="E35" s="2" t="s">
        <v>14</v>
      </c>
      <c r="F35" s="2">
        <v>2.0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3.0</v>
      </c>
      <c r="B36" s="3" t="s">
        <v>20</v>
      </c>
      <c r="C36" s="3" t="s">
        <v>22</v>
      </c>
      <c r="D36" s="2">
        <v>37.0</v>
      </c>
      <c r="E36" s="2">
        <v>1.0</v>
      </c>
      <c r="F36" s="2">
        <v>2.0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>
        <v>3.1</v>
      </c>
      <c r="B37" s="3" t="s">
        <v>29</v>
      </c>
      <c r="C37" s="3" t="s">
        <v>22</v>
      </c>
      <c r="D37" s="2">
        <v>5.0</v>
      </c>
      <c r="E37" s="2" t="s">
        <v>14</v>
      </c>
      <c r="F37" s="2">
        <v>2.0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3.2</v>
      </c>
      <c r="B38" s="3" t="s">
        <v>12</v>
      </c>
      <c r="C38" s="3" t="s">
        <v>11</v>
      </c>
      <c r="D38" s="2">
        <v>26.0</v>
      </c>
      <c r="E38" s="2" t="s">
        <v>14</v>
      </c>
      <c r="F38" s="2">
        <v>2.0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3.3</v>
      </c>
      <c r="B39" s="3" t="s">
        <v>12</v>
      </c>
      <c r="C39" s="3" t="s">
        <v>11</v>
      </c>
      <c r="D39" s="2">
        <v>25.0</v>
      </c>
      <c r="E39" s="2" t="s">
        <v>14</v>
      </c>
      <c r="F39" s="2">
        <v>2.0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3.4</v>
      </c>
      <c r="B40" s="3" t="s">
        <v>24</v>
      </c>
      <c r="C40" s="3" t="s">
        <v>22</v>
      </c>
      <c r="D40" s="2">
        <v>25.0</v>
      </c>
      <c r="E40" s="2">
        <v>1.0</v>
      </c>
      <c r="F40" s="2">
        <v>2.0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4.0</v>
      </c>
      <c r="B41" s="3" t="s">
        <v>12</v>
      </c>
      <c r="C41" s="3" t="s">
        <v>11</v>
      </c>
      <c r="D41" s="2">
        <v>40.0</v>
      </c>
      <c r="E41" s="2" t="s">
        <v>14</v>
      </c>
      <c r="F41" s="2">
        <v>2.0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5.0</v>
      </c>
      <c r="B42" s="3" t="s">
        <v>12</v>
      </c>
      <c r="C42" s="3" t="s">
        <v>11</v>
      </c>
      <c r="D42" s="2">
        <v>41.0</v>
      </c>
      <c r="E42" s="2" t="s">
        <v>14</v>
      </c>
      <c r="F42" s="2">
        <v>2.0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6.0</v>
      </c>
      <c r="B43" s="3" t="s">
        <v>12</v>
      </c>
      <c r="C43" s="3" t="s">
        <v>11</v>
      </c>
      <c r="D43" s="2">
        <v>37.0</v>
      </c>
      <c r="E43" s="2" t="s">
        <v>14</v>
      </c>
      <c r="F43" s="2">
        <v>2.0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7.0</v>
      </c>
      <c r="B44" s="2" t="s">
        <v>12</v>
      </c>
      <c r="C44" s="3" t="s">
        <v>11</v>
      </c>
      <c r="D44" s="2">
        <v>41.0</v>
      </c>
      <c r="E44" s="2" t="s">
        <v>14</v>
      </c>
      <c r="F44" s="2">
        <v>2.0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>
        <v>8.0</v>
      </c>
      <c r="B45" s="2" t="s">
        <v>29</v>
      </c>
      <c r="C45" s="3" t="s">
        <v>22</v>
      </c>
      <c r="D45" s="2">
        <v>32.0</v>
      </c>
      <c r="E45" s="2" t="s">
        <v>14</v>
      </c>
      <c r="F45" s="2">
        <v>2.0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9.0</v>
      </c>
      <c r="B46" s="2" t="s">
        <v>20</v>
      </c>
      <c r="C46" s="3" t="s">
        <v>22</v>
      </c>
      <c r="D46" s="2">
        <v>14.0</v>
      </c>
      <c r="E46" s="2">
        <v>1.0</v>
      </c>
      <c r="F46" s="2">
        <v>2.0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10.0</v>
      </c>
      <c r="B47" s="2" t="s">
        <v>29</v>
      </c>
      <c r="C47" s="3" t="s">
        <v>22</v>
      </c>
      <c r="D47" s="2">
        <v>5.0</v>
      </c>
      <c r="E47" s="2" t="s">
        <v>14</v>
      </c>
      <c r="F47" s="2">
        <v>2.0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11.0</v>
      </c>
      <c r="B48" s="2" t="s">
        <v>20</v>
      </c>
      <c r="C48" s="3" t="s">
        <v>22</v>
      </c>
      <c r="D48" s="2">
        <v>46.0</v>
      </c>
      <c r="E48" s="2">
        <v>1.0</v>
      </c>
      <c r="F48" s="2">
        <v>2.0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11.1</v>
      </c>
      <c r="B49" s="2" t="s">
        <v>29</v>
      </c>
      <c r="C49" s="3" t="s">
        <v>22</v>
      </c>
      <c r="D49" s="2">
        <v>13.0</v>
      </c>
      <c r="E49" s="2" t="s">
        <v>14</v>
      </c>
      <c r="F49" s="2">
        <v>2.0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11.2</v>
      </c>
      <c r="B50" s="2" t="s">
        <v>29</v>
      </c>
      <c r="C50" s="3" t="s">
        <v>22</v>
      </c>
      <c r="D50" s="2">
        <v>25.0</v>
      </c>
      <c r="E50" s="2" t="s">
        <v>14</v>
      </c>
      <c r="F50" s="2">
        <v>2.0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11.3</v>
      </c>
      <c r="B51" s="2" t="s">
        <v>29</v>
      </c>
      <c r="C51" s="3" t="s">
        <v>22</v>
      </c>
      <c r="D51" s="2">
        <v>8.0</v>
      </c>
      <c r="E51" s="2" t="s">
        <v>14</v>
      </c>
      <c r="F51" s="2">
        <v>2.0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>
        <v>11.4</v>
      </c>
      <c r="B52" s="2" t="s">
        <v>12</v>
      </c>
      <c r="C52" s="3" t="s">
        <v>11</v>
      </c>
      <c r="D52" s="2">
        <v>37.0</v>
      </c>
      <c r="E52" s="2" t="s">
        <v>14</v>
      </c>
      <c r="F52" s="2">
        <v>2.0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11.5</v>
      </c>
      <c r="B53" s="2" t="s">
        <v>12</v>
      </c>
      <c r="C53" s="3" t="s">
        <v>11</v>
      </c>
      <c r="D53" s="2">
        <v>41.0</v>
      </c>
      <c r="E53" s="2" t="s">
        <v>14</v>
      </c>
      <c r="F53" s="2">
        <v>2.0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11.6</v>
      </c>
      <c r="B54" s="2" t="s">
        <v>12</v>
      </c>
      <c r="C54" s="3" t="s">
        <v>11</v>
      </c>
      <c r="D54" s="2">
        <v>41.0</v>
      </c>
      <c r="E54" s="2" t="s">
        <v>14</v>
      </c>
      <c r="F54" s="2">
        <v>2.0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>
        <v>11.7</v>
      </c>
      <c r="B55" s="2" t="s">
        <v>20</v>
      </c>
      <c r="C55" s="3" t="s">
        <v>22</v>
      </c>
      <c r="D55" s="2">
        <v>41.0</v>
      </c>
      <c r="E55" s="2">
        <v>1.0</v>
      </c>
      <c r="F55" s="2">
        <v>2.0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36</v>
      </c>
      <c r="B56" s="2" t="s">
        <v>12</v>
      </c>
      <c r="C56" s="3" t="s">
        <v>11</v>
      </c>
      <c r="D56" s="2">
        <v>46.0</v>
      </c>
      <c r="E56" s="2" t="s">
        <v>14</v>
      </c>
      <c r="F56" s="2">
        <v>2.0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37</v>
      </c>
      <c r="B57" s="2" t="s">
        <v>10</v>
      </c>
      <c r="C57" s="3" t="s">
        <v>11</v>
      </c>
      <c r="D57" s="2">
        <v>50.0</v>
      </c>
      <c r="E57" s="2" t="s">
        <v>14</v>
      </c>
      <c r="F57" s="2">
        <v>2.0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38</v>
      </c>
      <c r="B58" s="2" t="s">
        <v>12</v>
      </c>
      <c r="C58" s="3" t="s">
        <v>11</v>
      </c>
      <c r="D58" s="2">
        <v>41.0</v>
      </c>
      <c r="E58" s="2" t="s">
        <v>14</v>
      </c>
      <c r="F58" s="2">
        <v>2.0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39</v>
      </c>
      <c r="B59" s="2" t="s">
        <v>20</v>
      </c>
      <c r="C59" s="3" t="s">
        <v>22</v>
      </c>
      <c r="D59" s="2">
        <v>13.0</v>
      </c>
      <c r="E59" s="2">
        <v>1.0</v>
      </c>
      <c r="F59" s="2">
        <v>2.0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40</v>
      </c>
      <c r="B60" s="2" t="s">
        <v>12</v>
      </c>
      <c r="C60" s="3" t="s">
        <v>11</v>
      </c>
      <c r="D60" s="2">
        <v>37.0</v>
      </c>
      <c r="E60" s="2" t="s">
        <v>14</v>
      </c>
      <c r="F60" s="2">
        <v>2.0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41</v>
      </c>
      <c r="B61" s="2" t="s">
        <v>12</v>
      </c>
      <c r="C61" s="3" t="s">
        <v>11</v>
      </c>
      <c r="D61" s="2">
        <v>50.0</v>
      </c>
      <c r="E61" s="2" t="s">
        <v>14</v>
      </c>
      <c r="F61" s="2">
        <v>2.0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42</v>
      </c>
      <c r="B62" s="2" t="s">
        <v>12</v>
      </c>
      <c r="C62" s="3" t="s">
        <v>11</v>
      </c>
      <c r="D62" s="2">
        <v>50.0</v>
      </c>
      <c r="E62" s="2" t="s">
        <v>14</v>
      </c>
      <c r="F62" s="2">
        <v>2.0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43</v>
      </c>
      <c r="B63" s="2" t="s">
        <v>26</v>
      </c>
      <c r="C63" s="3" t="s">
        <v>11</v>
      </c>
      <c r="D63" s="2">
        <v>47.0</v>
      </c>
      <c r="E63" s="2">
        <v>1.0</v>
      </c>
      <c r="F63" s="2">
        <v>2.0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44</v>
      </c>
      <c r="B64" s="2" t="s">
        <v>12</v>
      </c>
      <c r="C64" s="3" t="s">
        <v>11</v>
      </c>
      <c r="D64" s="2">
        <v>35.0</v>
      </c>
      <c r="E64" s="2" t="s">
        <v>14</v>
      </c>
      <c r="F64" s="2">
        <v>2.0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45</v>
      </c>
      <c r="B65" s="2" t="s">
        <v>24</v>
      </c>
      <c r="C65" s="3" t="s">
        <v>22</v>
      </c>
      <c r="D65" s="2">
        <v>53.0</v>
      </c>
      <c r="E65" s="2">
        <v>1.0</v>
      </c>
      <c r="F65" s="2">
        <v>2.0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>
        <v>11.8</v>
      </c>
      <c r="B66" s="2" t="s">
        <v>12</v>
      </c>
      <c r="C66" s="3" t="s">
        <v>11</v>
      </c>
      <c r="D66" s="2">
        <v>46.0</v>
      </c>
      <c r="E66" s="2" t="s">
        <v>14</v>
      </c>
      <c r="F66" s="2">
        <v>2.0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11.9</v>
      </c>
      <c r="B67" s="2" t="s">
        <v>24</v>
      </c>
      <c r="C67" s="3" t="s">
        <v>22</v>
      </c>
      <c r="D67" s="2">
        <v>47.0</v>
      </c>
      <c r="E67" s="2">
        <v>1.0</v>
      </c>
      <c r="F67" s="2">
        <v>2.0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>
        <v>12.0</v>
      </c>
      <c r="B68" s="2" t="s">
        <v>12</v>
      </c>
      <c r="C68" s="3" t="s">
        <v>11</v>
      </c>
      <c r="D68" s="2">
        <v>35.0</v>
      </c>
      <c r="E68" s="2" t="s">
        <v>14</v>
      </c>
      <c r="F68" s="2">
        <v>2.0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>
        <v>13.0</v>
      </c>
      <c r="B69" s="2" t="s">
        <v>12</v>
      </c>
      <c r="C69" s="3" t="s">
        <v>11</v>
      </c>
      <c r="D69" s="2">
        <v>35.0</v>
      </c>
      <c r="E69" s="2" t="s">
        <v>14</v>
      </c>
      <c r="F69" s="2">
        <v>2.0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>
        <v>14.0</v>
      </c>
      <c r="B70" s="2" t="s">
        <v>12</v>
      </c>
      <c r="C70" s="3" t="s">
        <v>11</v>
      </c>
      <c r="D70" s="2">
        <v>35.0</v>
      </c>
      <c r="E70" s="2" t="s">
        <v>14</v>
      </c>
      <c r="F70" s="2">
        <v>2.0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>
        <v>15.0</v>
      </c>
      <c r="B71" s="2" t="s">
        <v>12</v>
      </c>
      <c r="C71" s="3" t="s">
        <v>11</v>
      </c>
      <c r="D71" s="2">
        <v>36.0</v>
      </c>
      <c r="E71" s="2" t="s">
        <v>14</v>
      </c>
      <c r="F71" s="2">
        <v>2.0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>
        <v>16.0</v>
      </c>
      <c r="B72" s="2" t="s">
        <v>29</v>
      </c>
      <c r="C72" s="3" t="s">
        <v>22</v>
      </c>
      <c r="D72" s="2">
        <v>30.0</v>
      </c>
      <c r="E72" s="2">
        <v>1.0</v>
      </c>
      <c r="F72" s="2">
        <v>2.0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>
        <v>17.0</v>
      </c>
      <c r="B73" s="2" t="s">
        <v>29</v>
      </c>
      <c r="C73" s="3" t="s">
        <v>22</v>
      </c>
      <c r="D73" s="2">
        <v>15.0</v>
      </c>
      <c r="E73" s="2" t="s">
        <v>14</v>
      </c>
      <c r="F73" s="2">
        <v>2.0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>
        <v>18.0</v>
      </c>
      <c r="B74" s="2" t="s">
        <v>12</v>
      </c>
      <c r="C74" s="3" t="s">
        <v>11</v>
      </c>
      <c r="D74" s="2">
        <v>28.0</v>
      </c>
      <c r="E74" s="2" t="s">
        <v>14</v>
      </c>
      <c r="F74" s="2">
        <v>2.0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